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M:\++ WORK ++\-- DERP --\3b - D8-D9 (James)\TeamLondon\PERFORMANCE\"/>
    </mc:Choice>
  </mc:AlternateContent>
  <xr:revisionPtr revIDLastSave="0" documentId="13_ncr:1_{A55DE1E2-C2CD-41D0-AB68-9B2FA321FB5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JMeter" sheetId="1" r:id="rId1"/>
    <sheet name="JMeter Charts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63" i="1" l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72" i="1"/>
  <c r="J73" i="1"/>
  <c r="J71" i="1"/>
  <c r="G34" i="1"/>
  <c r="H31" i="1"/>
  <c r="H32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5" i="1" s="1"/>
  <c r="H66" i="1" s="1"/>
  <c r="H67" i="1" s="1"/>
  <c r="H68" i="1" s="1"/>
  <c r="H69" i="1" s="1"/>
  <c r="H70" i="1" s="1"/>
  <c r="H71" i="1" s="1"/>
  <c r="H72" i="1" s="1"/>
  <c r="H73" i="1" s="1"/>
  <c r="H74" i="1" s="1"/>
  <c r="H30" i="1"/>
  <c r="I33" i="1" l="1"/>
  <c r="I34" i="1" s="1"/>
  <c r="I35" i="1" s="1"/>
  <c r="I36" i="1" s="1"/>
  <c r="I37" i="1" s="1"/>
  <c r="I38" i="1" s="1"/>
  <c r="I39" i="1" s="1"/>
  <c r="I40" i="1" s="1"/>
  <c r="I41" i="1" s="1"/>
  <c r="I42" i="1" s="1"/>
  <c r="I43" i="1" s="1"/>
  <c r="I44" i="1" s="1"/>
  <c r="I45" i="1" s="1"/>
  <c r="I46" i="1" s="1"/>
  <c r="I47" i="1" s="1"/>
  <c r="I48" i="1" s="1"/>
  <c r="I49" i="1" s="1"/>
  <c r="I50" i="1" s="1"/>
  <c r="I51" i="1" s="1"/>
  <c r="I52" i="1" s="1"/>
  <c r="I53" i="1" s="1"/>
  <c r="I54" i="1" s="1"/>
  <c r="I55" i="1" s="1"/>
  <c r="I56" i="1" s="1"/>
  <c r="I57" i="1" s="1"/>
  <c r="I58" i="1" s="1"/>
  <c r="I59" i="1" s="1"/>
  <c r="I60" i="1" s="1"/>
  <c r="I61" i="1" s="1"/>
  <c r="I62" i="1" s="1"/>
  <c r="I63" i="1" s="1"/>
  <c r="I64" i="1" s="1"/>
  <c r="I65" i="1" s="1"/>
  <c r="I66" i="1" s="1"/>
  <c r="I67" i="1" s="1"/>
  <c r="I68" i="1" s="1"/>
  <c r="I69" i="1" s="1"/>
  <c r="I70" i="1" s="1"/>
  <c r="I71" i="1" s="1"/>
  <c r="I72" i="1" s="1"/>
  <c r="I73" i="1" s="1"/>
  <c r="I74" i="1" s="1"/>
  <c r="I32" i="1"/>
  <c r="I31" i="1"/>
  <c r="F35" i="1"/>
  <c r="F33" i="1"/>
  <c r="F32" i="1"/>
  <c r="F31" i="1"/>
  <c r="F30" i="1"/>
  <c r="F13" i="1"/>
  <c r="E35" i="1"/>
  <c r="G70" i="1"/>
</calcChain>
</file>

<file path=xl/sharedStrings.xml><?xml version="1.0" encoding="utf-8"?>
<sst xmlns="http://schemas.openxmlformats.org/spreadsheetml/2006/main" count="30" uniqueCount="18">
  <si>
    <t>Start Threads Count</t>
  </si>
  <si>
    <t>Initial Delay</t>
  </si>
  <si>
    <t>Startup Time</t>
  </si>
  <si>
    <t>Hold Load For</t>
  </si>
  <si>
    <t>Shutdown Time</t>
  </si>
  <si>
    <t>Start RPS</t>
  </si>
  <si>
    <t>End RPS</t>
  </si>
  <si>
    <t>Duration</t>
  </si>
  <si>
    <t>(could get from the actual .jmx)</t>
  </si>
  <si>
    <t>Elapsed Time</t>
  </si>
  <si>
    <t>Number of requests/sec</t>
  </si>
  <si>
    <t>Baseline 1VU</t>
  </si>
  <si>
    <t>Ramp n</t>
  </si>
  <si>
    <r>
      <t xml:space="preserve">THREADS </t>
    </r>
    <r>
      <rPr>
        <i/>
        <sz val="12"/>
        <color theme="1"/>
        <rFont val="Arial"/>
        <family val="2"/>
      </rPr>
      <t>(VUs)</t>
    </r>
    <r>
      <rPr>
        <b/>
        <sz val="12"/>
        <color theme="1"/>
        <rFont val="Arial"/>
        <family val="2"/>
      </rPr>
      <t xml:space="preserve"> SCHEDULE</t>
    </r>
  </si>
  <si>
    <r>
      <t>REQUESTS PER SECOND</t>
    </r>
    <r>
      <rPr>
        <sz val="12"/>
        <color theme="1"/>
        <rFont val="Arial"/>
        <family val="2"/>
      </rPr>
      <t xml:space="preserve"> </t>
    </r>
    <r>
      <rPr>
        <i/>
        <sz val="12"/>
        <color theme="1"/>
        <rFont val="Arial"/>
        <family val="2"/>
      </rPr>
      <t>(RPS)</t>
    </r>
    <r>
      <rPr>
        <b/>
        <sz val="12"/>
        <color theme="1"/>
        <rFont val="Arial"/>
        <family val="2"/>
      </rPr>
      <t xml:space="preserve"> SCHEDULE</t>
    </r>
  </si>
  <si>
    <t>TOTAL</t>
  </si>
  <si>
    <r>
      <t>Duration</t>
    </r>
    <r>
      <rPr>
        <i/>
        <sz val="12"/>
        <color theme="1"/>
        <rFont val="Arial"/>
        <family val="2"/>
      </rPr>
      <t xml:space="preserve"> (S)</t>
    </r>
  </si>
  <si>
    <r>
      <t>Duration</t>
    </r>
    <r>
      <rPr>
        <i/>
        <sz val="12"/>
        <color theme="1"/>
        <rFont val="Arial"/>
        <family val="2"/>
      </rPr>
      <t xml:space="preserve"> (Min)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</si>
</sst>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7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i/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2"/>
      <color rgb="FFFF0000"/>
      <name val="Arial"/>
      <family val="2"/>
    </font>
    <font>
      <sz val="12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1" fillId="0" borderId="1" xfId="0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3" fillId="0" borderId="0" xfId="0" applyFont="1"/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4" fillId="0" borderId="0" xfId="0" applyFont="1"/>
    <xf numFmtId="0" fontId="3" fillId="2" borderId="1" xfId="0" applyFont="1" applyFill="1" applyBorder="1" applyAlignment="1">
      <alignment horizontal="right"/>
    </xf>
    <xf numFmtId="0" fontId="1" fillId="2" borderId="1" xfId="0" applyFont="1" applyFill="1" applyBorder="1" applyAlignment="1">
      <alignment horizontal="right"/>
    </xf>
    <xf numFmtId="0" fontId="5" fillId="0" borderId="1" xfId="0" applyFont="1" applyBorder="1" applyAlignment="1">
      <alignment horizontal="right"/>
    </xf>
    <xf numFmtId="20" fontId="1" fillId="0" borderId="0" xfId="0" applyNumberFormat="1" applyFont="1" applyAlignment="1">
      <alignment horizontal="right"/>
    </xf>
    <xf numFmtId="0" fontId="6" fillId="0" borderId="0" xfId="0" applyFont="1" applyAlignment="1">
      <alignment horizontal="right"/>
    </xf>
    <xf numFmtId="165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JMeter!$J$28</c:f>
              <c:strCache>
                <c:ptCount val="1"/>
                <c:pt idx="0">
                  <c:v>Number of requests/sec</c:v>
                </c:pt>
              </c:strCache>
            </c:strRef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JMeter!$I$29:$I$74</c:f>
              <c:numCache>
                <c:formatCode>h:mm</c:formatCode>
                <c:ptCount val="46"/>
                <c:pt idx="0">
                  <c:v>0</c:v>
                </c:pt>
                <c:pt idx="1">
                  <c:v>6.9444444444444447E-4</c:v>
                </c:pt>
                <c:pt idx="2">
                  <c:v>1.3888888888888889E-3</c:v>
                </c:pt>
                <c:pt idx="3">
                  <c:v>2.0833333333333333E-3</c:v>
                </c:pt>
                <c:pt idx="4">
                  <c:v>2.7777777777777779E-3</c:v>
                </c:pt>
                <c:pt idx="5">
                  <c:v>3.4722222222222225E-3</c:v>
                </c:pt>
                <c:pt idx="6">
                  <c:v>4.1666666666666666E-3</c:v>
                </c:pt>
                <c:pt idx="7">
                  <c:v>4.8611111111111112E-3</c:v>
                </c:pt>
                <c:pt idx="8">
                  <c:v>5.5555555555555558E-3</c:v>
                </c:pt>
                <c:pt idx="9">
                  <c:v>6.2500000000000003E-3</c:v>
                </c:pt>
                <c:pt idx="10">
                  <c:v>6.9444444444444449E-3</c:v>
                </c:pt>
                <c:pt idx="11">
                  <c:v>7.6388888888888895E-3</c:v>
                </c:pt>
                <c:pt idx="12">
                  <c:v>8.3333333333333332E-3</c:v>
                </c:pt>
                <c:pt idx="13">
                  <c:v>9.0277777777777769E-3</c:v>
                </c:pt>
                <c:pt idx="14">
                  <c:v>9.7222222222222206E-3</c:v>
                </c:pt>
                <c:pt idx="15">
                  <c:v>1.0416666666666664E-2</c:v>
                </c:pt>
                <c:pt idx="16">
                  <c:v>1.1111111111111108E-2</c:v>
                </c:pt>
                <c:pt idx="17">
                  <c:v>1.1805555555555552E-2</c:v>
                </c:pt>
                <c:pt idx="18">
                  <c:v>1.2499999999999995E-2</c:v>
                </c:pt>
                <c:pt idx="19">
                  <c:v>1.3194444444444439E-2</c:v>
                </c:pt>
                <c:pt idx="20">
                  <c:v>1.3888888888888883E-2</c:v>
                </c:pt>
                <c:pt idx="21">
                  <c:v>1.4583333333333327E-2</c:v>
                </c:pt>
                <c:pt idx="22">
                  <c:v>1.527777777777777E-2</c:v>
                </c:pt>
                <c:pt idx="23">
                  <c:v>1.5972222222222214E-2</c:v>
                </c:pt>
                <c:pt idx="24">
                  <c:v>1.6666666666666659E-2</c:v>
                </c:pt>
                <c:pt idx="25">
                  <c:v>1.7361111111111105E-2</c:v>
                </c:pt>
                <c:pt idx="26">
                  <c:v>1.805555555555555E-2</c:v>
                </c:pt>
                <c:pt idx="27">
                  <c:v>1.8749999999999996E-2</c:v>
                </c:pt>
                <c:pt idx="28">
                  <c:v>1.9444444444444441E-2</c:v>
                </c:pt>
                <c:pt idx="29">
                  <c:v>2.0138888888888887E-2</c:v>
                </c:pt>
                <c:pt idx="30">
                  <c:v>2.0833333333333332E-2</c:v>
                </c:pt>
                <c:pt idx="31">
                  <c:v>2.1527777777777778E-2</c:v>
                </c:pt>
                <c:pt idx="32">
                  <c:v>2.2222222222222223E-2</c:v>
                </c:pt>
                <c:pt idx="33">
                  <c:v>2.2916666666666669E-2</c:v>
                </c:pt>
                <c:pt idx="34">
                  <c:v>2.3611111111111114E-2</c:v>
                </c:pt>
                <c:pt idx="35">
                  <c:v>2.4305555555555559E-2</c:v>
                </c:pt>
                <c:pt idx="36">
                  <c:v>2.5000000000000005E-2</c:v>
                </c:pt>
                <c:pt idx="37">
                  <c:v>2.569444444444445E-2</c:v>
                </c:pt>
                <c:pt idx="38">
                  <c:v>2.6388888888888896E-2</c:v>
                </c:pt>
                <c:pt idx="39">
                  <c:v>2.7083333333333341E-2</c:v>
                </c:pt>
                <c:pt idx="40">
                  <c:v>2.7777777777777787E-2</c:v>
                </c:pt>
                <c:pt idx="41">
                  <c:v>2.8472222222222232E-2</c:v>
                </c:pt>
                <c:pt idx="42">
                  <c:v>2.9166666666666678E-2</c:v>
                </c:pt>
                <c:pt idx="43">
                  <c:v>2.9861111111111123E-2</c:v>
                </c:pt>
                <c:pt idx="44">
                  <c:v>3.0555555555555568E-2</c:v>
                </c:pt>
                <c:pt idx="45">
                  <c:v>3.1250000000000014E-2</c:v>
                </c:pt>
              </c:numCache>
            </c:numRef>
          </c:xVal>
          <c:yVal>
            <c:numRef>
              <c:f>JMeter!$J$29:$J$74</c:f>
              <c:numCache>
                <c:formatCode>General</c:formatCode>
                <c:ptCount val="4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1.2449999999999997</c:v>
                </c:pt>
                <c:pt idx="7">
                  <c:v>1.5449999999999999</c:v>
                </c:pt>
                <c:pt idx="8">
                  <c:v>1.8449999999999998</c:v>
                </c:pt>
                <c:pt idx="9">
                  <c:v>2.1449999999999996</c:v>
                </c:pt>
                <c:pt idx="10">
                  <c:v>2.4449999999999998</c:v>
                </c:pt>
                <c:pt idx="11">
                  <c:v>2.7449999999999997</c:v>
                </c:pt>
                <c:pt idx="12">
                  <c:v>3.0449999999999995</c:v>
                </c:pt>
                <c:pt idx="13">
                  <c:v>3.3449999999999998</c:v>
                </c:pt>
                <c:pt idx="14">
                  <c:v>3.645</c:v>
                </c:pt>
                <c:pt idx="15">
                  <c:v>3.9449999999999998</c:v>
                </c:pt>
                <c:pt idx="16">
                  <c:v>4.2450000000000001</c:v>
                </c:pt>
                <c:pt idx="17">
                  <c:v>4.5449999999999999</c:v>
                </c:pt>
                <c:pt idx="18">
                  <c:v>4.8449999999999998</c:v>
                </c:pt>
                <c:pt idx="19">
                  <c:v>5.1450000000000005</c:v>
                </c:pt>
                <c:pt idx="20">
                  <c:v>5.4450000000000003</c:v>
                </c:pt>
                <c:pt idx="21">
                  <c:v>5.7450000000000001</c:v>
                </c:pt>
                <c:pt idx="22">
                  <c:v>6.0449999999999999</c:v>
                </c:pt>
                <c:pt idx="23">
                  <c:v>6.3449999999999998</c:v>
                </c:pt>
                <c:pt idx="24">
                  <c:v>6.6449999999999996</c:v>
                </c:pt>
                <c:pt idx="25">
                  <c:v>6.9450000000000003</c:v>
                </c:pt>
                <c:pt idx="26">
                  <c:v>7.2450000000000001</c:v>
                </c:pt>
                <c:pt idx="27">
                  <c:v>7.5449999999999999</c:v>
                </c:pt>
                <c:pt idx="28">
                  <c:v>7.8450000000000006</c:v>
                </c:pt>
                <c:pt idx="29">
                  <c:v>8.1449999999999996</c:v>
                </c:pt>
                <c:pt idx="30">
                  <c:v>8.4450000000000003</c:v>
                </c:pt>
                <c:pt idx="31">
                  <c:v>8.7449999999999992</c:v>
                </c:pt>
                <c:pt idx="32">
                  <c:v>9.0449999999999999</c:v>
                </c:pt>
                <c:pt idx="33">
                  <c:v>9.3450000000000006</c:v>
                </c:pt>
                <c:pt idx="34">
                  <c:v>9.6449999999999996</c:v>
                </c:pt>
                <c:pt idx="35">
                  <c:v>10</c:v>
                </c:pt>
                <c:pt idx="36">
                  <c:v>10</c:v>
                </c:pt>
                <c:pt idx="37">
                  <c:v>10</c:v>
                </c:pt>
                <c:pt idx="38">
                  <c:v>10</c:v>
                </c:pt>
                <c:pt idx="39">
                  <c:v>10</c:v>
                </c:pt>
                <c:pt idx="40">
                  <c:v>10</c:v>
                </c:pt>
                <c:pt idx="41">
                  <c:v>10</c:v>
                </c:pt>
                <c:pt idx="42">
                  <c:v>7.5</c:v>
                </c:pt>
                <c:pt idx="43">
                  <c:v>5.25</c:v>
                </c:pt>
                <c:pt idx="44">
                  <c:v>3</c:v>
                </c:pt>
                <c:pt idx="4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8BF-4E4B-B695-34DDEB5B9C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5070968"/>
        <c:axId val="365068344"/>
      </c:scatterChart>
      <c:valAx>
        <c:axId val="365070968"/>
        <c:scaling>
          <c:orientation val="minMax"/>
          <c:max val="3.1250000000000007E-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:ss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65068344"/>
        <c:crosses val="autoZero"/>
        <c:crossBetween val="midCat"/>
        <c:majorUnit val="3.4722222222222212E-3"/>
      </c:valAx>
      <c:valAx>
        <c:axId val="365068344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65070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609599</xdr:colOff>
      <xdr:row>27</xdr:row>
      <xdr:rowOff>0</xdr:rowOff>
    </xdr:from>
    <xdr:to>
      <xdr:col>18</xdr:col>
      <xdr:colOff>600074</xdr:colOff>
      <xdr:row>42</xdr:row>
      <xdr:rowOff>9525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25701BD-6995-43DC-84C0-48E95AB245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2</xdr:row>
      <xdr:rowOff>0</xdr:rowOff>
    </xdr:from>
    <xdr:to>
      <xdr:col>16</xdr:col>
      <xdr:colOff>433295</xdr:colOff>
      <xdr:row>17</xdr:row>
      <xdr:rowOff>157737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C6E8D7-20BD-4F2D-AFE9-A30A2C2127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8358095" cy="3024762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19</xdr:row>
      <xdr:rowOff>0</xdr:rowOff>
    </xdr:from>
    <xdr:to>
      <xdr:col>16</xdr:col>
      <xdr:colOff>433295</xdr:colOff>
      <xdr:row>34</xdr:row>
      <xdr:rowOff>119641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D166EE5-E053-431F-A349-9EACBEB3EF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3429000"/>
          <a:ext cx="8358095" cy="298666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19</xdr:row>
      <xdr:rowOff>0</xdr:rowOff>
    </xdr:from>
    <xdr:to>
      <xdr:col>31</xdr:col>
      <xdr:colOff>433295</xdr:colOff>
      <xdr:row>36</xdr:row>
      <xdr:rowOff>111975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9EA30E8-E1DB-4FF0-A43A-20D41941B1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753600" y="3429000"/>
          <a:ext cx="8358095" cy="336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L103"/>
  <sheetViews>
    <sheetView tabSelected="1" zoomScaleNormal="100" workbookViewId="0">
      <selection activeCell="N45" sqref="N45"/>
    </sheetView>
  </sheetViews>
  <sheetFormatPr defaultRowHeight="15.75" x14ac:dyDescent="0.25"/>
  <cols>
    <col min="1" max="1" width="9.140625" style="1"/>
    <col min="2" max="2" width="16" bestFit="1" customWidth="1"/>
    <col min="3" max="3" width="24.28515625" style="1" customWidth="1"/>
    <col min="4" max="4" width="15.85546875" style="1" customWidth="1"/>
    <col min="5" max="5" width="17.42578125" style="1" customWidth="1"/>
    <col min="6" max="6" width="18.140625" style="1" customWidth="1"/>
    <col min="7" max="7" width="21.28515625" style="1" customWidth="1"/>
    <col min="8" max="8" width="9.140625" style="1"/>
    <col min="9" max="9" width="16.140625" style="2" bestFit="1" customWidth="1"/>
    <col min="10" max="10" width="27.85546875" style="2" bestFit="1" customWidth="1"/>
    <col min="11" max="11" width="9.140625" style="1"/>
    <col min="12" max="12" width="10.85546875" style="1" customWidth="1"/>
    <col min="13" max="27" width="9.140625" style="1" customWidth="1"/>
    <col min="28" max="16384" width="9.140625" style="1"/>
  </cols>
  <sheetData>
    <row r="3" spans="2:12" x14ac:dyDescent="0.25">
      <c r="B3" s="6" t="s">
        <v>11</v>
      </c>
      <c r="L3" s="9"/>
    </row>
    <row r="5" spans="2:12" x14ac:dyDescent="0.25">
      <c r="C5" s="8" t="s">
        <v>13</v>
      </c>
      <c r="D5" s="2"/>
      <c r="E5" s="2"/>
      <c r="F5" s="2"/>
      <c r="G5" s="2"/>
    </row>
    <row r="6" spans="2:12" x14ac:dyDescent="0.25">
      <c r="C6" s="2"/>
      <c r="D6" s="2"/>
      <c r="E6" s="2"/>
      <c r="F6" s="2"/>
      <c r="G6" s="2"/>
    </row>
    <row r="7" spans="2:12" x14ac:dyDescent="0.25">
      <c r="C7" s="5" t="s">
        <v>0</v>
      </c>
      <c r="D7" s="5" t="s">
        <v>1</v>
      </c>
      <c r="E7" s="5" t="s">
        <v>2</v>
      </c>
      <c r="F7" s="5" t="s">
        <v>3</v>
      </c>
      <c r="G7" s="5" t="s">
        <v>4</v>
      </c>
    </row>
    <row r="8" spans="2:12" x14ac:dyDescent="0.25">
      <c r="C8" s="4">
        <v>1</v>
      </c>
      <c r="D8" s="12">
        <v>0</v>
      </c>
      <c r="E8" s="4">
        <v>0</v>
      </c>
      <c r="F8" s="4">
        <v>1200</v>
      </c>
      <c r="G8" s="4">
        <v>10</v>
      </c>
    </row>
    <row r="10" spans="2:12" x14ac:dyDescent="0.25">
      <c r="C10" s="8" t="s">
        <v>14</v>
      </c>
      <c r="D10" s="2"/>
      <c r="E10" s="2"/>
    </row>
    <row r="11" spans="2:12" x14ac:dyDescent="0.25">
      <c r="C11" s="2"/>
      <c r="D11" s="2"/>
      <c r="E11" s="2"/>
    </row>
    <row r="12" spans="2:12" x14ac:dyDescent="0.25">
      <c r="C12" s="5" t="s">
        <v>5</v>
      </c>
      <c r="D12" s="5" t="s">
        <v>6</v>
      </c>
      <c r="E12" s="5" t="s">
        <v>7</v>
      </c>
      <c r="F12" s="10" t="s">
        <v>17</v>
      </c>
    </row>
    <row r="13" spans="2:12" x14ac:dyDescent="0.25">
      <c r="C13" s="4">
        <v>0.2</v>
      </c>
      <c r="D13" s="4">
        <v>0.2</v>
      </c>
      <c r="E13" s="4">
        <v>1200</v>
      </c>
      <c r="F13" s="11">
        <f>E13/60</f>
        <v>20</v>
      </c>
    </row>
    <row r="20" spans="2:10" x14ac:dyDescent="0.25">
      <c r="B20" s="6" t="s">
        <v>12</v>
      </c>
    </row>
    <row r="22" spans="2:10" x14ac:dyDescent="0.25">
      <c r="C22" s="8" t="s">
        <v>13</v>
      </c>
      <c r="D22" s="2"/>
      <c r="E22" s="2"/>
      <c r="F22" s="2"/>
      <c r="G22" s="2"/>
    </row>
    <row r="23" spans="2:10" x14ac:dyDescent="0.25">
      <c r="C23" s="2"/>
      <c r="D23" s="2"/>
      <c r="E23" s="2"/>
      <c r="F23" s="2"/>
      <c r="G23" s="2"/>
    </row>
    <row r="24" spans="2:10" x14ac:dyDescent="0.25">
      <c r="C24" s="5" t="s">
        <v>0</v>
      </c>
      <c r="D24" s="5" t="s">
        <v>1</v>
      </c>
      <c r="E24" s="5" t="s">
        <v>2</v>
      </c>
      <c r="F24" s="5" t="s">
        <v>3</v>
      </c>
      <c r="G24" s="5" t="s">
        <v>4</v>
      </c>
    </row>
    <row r="25" spans="2:10" x14ac:dyDescent="0.25">
      <c r="C25" s="4">
        <v>40</v>
      </c>
      <c r="D25" s="12">
        <v>0</v>
      </c>
      <c r="E25" s="4">
        <v>600</v>
      </c>
      <c r="F25" s="4">
        <v>2100</v>
      </c>
      <c r="G25" s="4">
        <v>600</v>
      </c>
    </row>
    <row r="26" spans="2:10" x14ac:dyDescent="0.25">
      <c r="I26" s="13"/>
    </row>
    <row r="27" spans="2:10" x14ac:dyDescent="0.25">
      <c r="C27" s="8" t="s">
        <v>14</v>
      </c>
      <c r="D27" s="2"/>
      <c r="E27" s="2"/>
      <c r="F27" s="3" t="s">
        <v>8</v>
      </c>
      <c r="G27" s="2"/>
    </row>
    <row r="28" spans="2:10" x14ac:dyDescent="0.25">
      <c r="C28" s="2"/>
      <c r="D28" s="2"/>
      <c r="E28" s="2"/>
      <c r="F28" s="2"/>
      <c r="G28" s="2"/>
      <c r="I28" s="7" t="s">
        <v>9</v>
      </c>
      <c r="J28" s="7" t="s">
        <v>10</v>
      </c>
    </row>
    <row r="29" spans="2:10" x14ac:dyDescent="0.25">
      <c r="C29" s="5" t="s">
        <v>5</v>
      </c>
      <c r="D29" s="5" t="s">
        <v>6</v>
      </c>
      <c r="E29" s="5" t="s">
        <v>16</v>
      </c>
      <c r="F29" s="10" t="s">
        <v>17</v>
      </c>
      <c r="G29" s="2"/>
      <c r="H29" s="1">
        <v>0</v>
      </c>
      <c r="I29" s="13">
        <v>0</v>
      </c>
      <c r="J29" s="14">
        <v>1</v>
      </c>
    </row>
    <row r="30" spans="2:10" x14ac:dyDescent="0.25">
      <c r="C30" s="4">
        <v>1</v>
      </c>
      <c r="D30" s="4">
        <v>1</v>
      </c>
      <c r="E30" s="4">
        <v>300</v>
      </c>
      <c r="F30" s="11">
        <f>E30/60</f>
        <v>5</v>
      </c>
      <c r="G30" s="2"/>
      <c r="H30" s="1">
        <f>H29+1</f>
        <v>1</v>
      </c>
      <c r="I30" s="13">
        <v>6.9444444444444447E-4</v>
      </c>
      <c r="J30" s="14">
        <v>1</v>
      </c>
    </row>
    <row r="31" spans="2:10" x14ac:dyDescent="0.25">
      <c r="C31" s="4">
        <v>1</v>
      </c>
      <c r="D31" s="4">
        <v>10</v>
      </c>
      <c r="E31" s="4">
        <v>1800</v>
      </c>
      <c r="F31" s="11">
        <f>E31/60</f>
        <v>30</v>
      </c>
      <c r="G31" s="2"/>
      <c r="H31" s="1">
        <f t="shared" ref="H31:H74" si="0">H30+1</f>
        <v>2</v>
      </c>
      <c r="I31" s="13">
        <f>$I30+$I$30</f>
        <v>1.3888888888888889E-3</v>
      </c>
      <c r="J31" s="14">
        <v>1</v>
      </c>
    </row>
    <row r="32" spans="2:10" x14ac:dyDescent="0.25">
      <c r="C32" s="4">
        <v>10</v>
      </c>
      <c r="D32" s="4">
        <v>10</v>
      </c>
      <c r="E32" s="4">
        <v>360</v>
      </c>
      <c r="F32" s="11">
        <f>E32/60</f>
        <v>6</v>
      </c>
      <c r="G32" s="2"/>
      <c r="H32" s="1">
        <f t="shared" si="0"/>
        <v>3</v>
      </c>
      <c r="I32" s="13">
        <f t="shared" ref="I32:I74" si="1">$I31+$I$30</f>
        <v>2.0833333333333333E-3</v>
      </c>
      <c r="J32" s="14">
        <v>1</v>
      </c>
    </row>
    <row r="33" spans="3:10" x14ac:dyDescent="0.25">
      <c r="C33" s="4">
        <v>10</v>
      </c>
      <c r="D33" s="4">
        <v>1</v>
      </c>
      <c r="E33" s="4">
        <v>240</v>
      </c>
      <c r="F33" s="11">
        <f>E33/60</f>
        <v>4</v>
      </c>
      <c r="G33" s="2"/>
      <c r="H33" s="1">
        <f t="shared" si="0"/>
        <v>4</v>
      </c>
      <c r="I33" s="13">
        <f t="shared" si="1"/>
        <v>2.7777777777777779E-3</v>
      </c>
      <c r="J33" s="14">
        <v>1</v>
      </c>
    </row>
    <row r="34" spans="3:10" x14ac:dyDescent="0.25">
      <c r="C34" s="2"/>
      <c r="D34" s="2"/>
      <c r="E34" s="2"/>
      <c r="F34" s="2"/>
      <c r="G34" s="15">
        <f>(J64-J34)/(H64-H34)</f>
        <v>0.3</v>
      </c>
      <c r="H34" s="1">
        <f t="shared" si="0"/>
        <v>5</v>
      </c>
      <c r="I34" s="13">
        <f t="shared" si="1"/>
        <v>3.4722222222222225E-3</v>
      </c>
      <c r="J34" s="14">
        <v>1</v>
      </c>
    </row>
    <row r="35" spans="3:10" x14ac:dyDescent="0.25">
      <c r="D35" s="7" t="s">
        <v>15</v>
      </c>
      <c r="E35" s="7">
        <f>SUM(E30:E33)</f>
        <v>2700</v>
      </c>
      <c r="F35" s="10">
        <f>E35/60</f>
        <v>45</v>
      </c>
      <c r="G35" s="2"/>
      <c r="H35" s="1">
        <f t="shared" si="0"/>
        <v>6</v>
      </c>
      <c r="I35" s="13">
        <f t="shared" si="1"/>
        <v>4.1666666666666666E-3</v>
      </c>
      <c r="J35" s="2">
        <f>($G$34*$H35)-0.555</f>
        <v>1.2449999999999997</v>
      </c>
    </row>
    <row r="36" spans="3:10" x14ac:dyDescent="0.25">
      <c r="H36" s="1">
        <f t="shared" si="0"/>
        <v>7</v>
      </c>
      <c r="I36" s="13">
        <f t="shared" si="1"/>
        <v>4.8611111111111112E-3</v>
      </c>
      <c r="J36" s="2">
        <f t="shared" ref="J36:J63" si="2">($G$34*$H36)-0.555</f>
        <v>1.5449999999999999</v>
      </c>
    </row>
    <row r="37" spans="3:10" x14ac:dyDescent="0.25">
      <c r="H37" s="1">
        <f t="shared" si="0"/>
        <v>8</v>
      </c>
      <c r="I37" s="13">
        <f t="shared" si="1"/>
        <v>5.5555555555555558E-3</v>
      </c>
      <c r="J37" s="2">
        <f t="shared" si="2"/>
        <v>1.8449999999999998</v>
      </c>
    </row>
    <row r="38" spans="3:10" x14ac:dyDescent="0.25">
      <c r="H38" s="1">
        <f t="shared" si="0"/>
        <v>9</v>
      </c>
      <c r="I38" s="13">
        <f t="shared" si="1"/>
        <v>6.2500000000000003E-3</v>
      </c>
      <c r="J38" s="2">
        <f t="shared" si="2"/>
        <v>2.1449999999999996</v>
      </c>
    </row>
    <row r="39" spans="3:10" x14ac:dyDescent="0.25">
      <c r="H39" s="1">
        <f t="shared" si="0"/>
        <v>10</v>
      </c>
      <c r="I39" s="13">
        <f t="shared" si="1"/>
        <v>6.9444444444444449E-3</v>
      </c>
      <c r="J39" s="2">
        <f t="shared" si="2"/>
        <v>2.4449999999999998</v>
      </c>
    </row>
    <row r="40" spans="3:10" x14ac:dyDescent="0.25">
      <c r="H40" s="1">
        <f t="shared" si="0"/>
        <v>11</v>
      </c>
      <c r="I40" s="13">
        <f t="shared" si="1"/>
        <v>7.6388888888888895E-3</v>
      </c>
      <c r="J40" s="2">
        <f t="shared" si="2"/>
        <v>2.7449999999999997</v>
      </c>
    </row>
    <row r="41" spans="3:10" x14ac:dyDescent="0.25">
      <c r="H41" s="1">
        <f t="shared" si="0"/>
        <v>12</v>
      </c>
      <c r="I41" s="13">
        <f t="shared" si="1"/>
        <v>8.3333333333333332E-3</v>
      </c>
      <c r="J41" s="2">
        <f t="shared" si="2"/>
        <v>3.0449999999999995</v>
      </c>
    </row>
    <row r="42" spans="3:10" x14ac:dyDescent="0.25">
      <c r="H42" s="1">
        <f t="shared" si="0"/>
        <v>13</v>
      </c>
      <c r="I42" s="13">
        <f t="shared" si="1"/>
        <v>9.0277777777777769E-3</v>
      </c>
      <c r="J42" s="2">
        <f t="shared" si="2"/>
        <v>3.3449999999999998</v>
      </c>
    </row>
    <row r="43" spans="3:10" x14ac:dyDescent="0.25">
      <c r="H43" s="1">
        <f t="shared" si="0"/>
        <v>14</v>
      </c>
      <c r="I43" s="13">
        <f t="shared" si="1"/>
        <v>9.7222222222222206E-3</v>
      </c>
      <c r="J43" s="2">
        <f t="shared" si="2"/>
        <v>3.645</v>
      </c>
    </row>
    <row r="44" spans="3:10" x14ac:dyDescent="0.25">
      <c r="H44" s="1">
        <f t="shared" si="0"/>
        <v>15</v>
      </c>
      <c r="I44" s="13">
        <f t="shared" si="1"/>
        <v>1.0416666666666664E-2</v>
      </c>
      <c r="J44" s="2">
        <f t="shared" si="2"/>
        <v>3.9449999999999998</v>
      </c>
    </row>
    <row r="45" spans="3:10" x14ac:dyDescent="0.25">
      <c r="H45" s="1">
        <f t="shared" si="0"/>
        <v>16</v>
      </c>
      <c r="I45" s="13">
        <f t="shared" si="1"/>
        <v>1.1111111111111108E-2</v>
      </c>
      <c r="J45" s="2">
        <f t="shared" si="2"/>
        <v>4.2450000000000001</v>
      </c>
    </row>
    <row r="46" spans="3:10" x14ac:dyDescent="0.25">
      <c r="H46" s="1">
        <f t="shared" si="0"/>
        <v>17</v>
      </c>
      <c r="I46" s="13">
        <f t="shared" si="1"/>
        <v>1.1805555555555552E-2</v>
      </c>
      <c r="J46" s="2">
        <f t="shared" si="2"/>
        <v>4.5449999999999999</v>
      </c>
    </row>
    <row r="47" spans="3:10" x14ac:dyDescent="0.25">
      <c r="H47" s="1">
        <f t="shared" si="0"/>
        <v>18</v>
      </c>
      <c r="I47" s="13">
        <f t="shared" si="1"/>
        <v>1.2499999999999995E-2</v>
      </c>
      <c r="J47" s="2">
        <f t="shared" si="2"/>
        <v>4.8449999999999998</v>
      </c>
    </row>
    <row r="48" spans="3:10" x14ac:dyDescent="0.25">
      <c r="H48" s="1">
        <f t="shared" si="0"/>
        <v>19</v>
      </c>
      <c r="I48" s="13">
        <f t="shared" si="1"/>
        <v>1.3194444444444439E-2</v>
      </c>
      <c r="J48" s="2">
        <f t="shared" si="2"/>
        <v>5.1450000000000005</v>
      </c>
    </row>
    <row r="49" spans="8:10" x14ac:dyDescent="0.25">
      <c r="H49" s="1">
        <f t="shared" si="0"/>
        <v>20</v>
      </c>
      <c r="I49" s="13">
        <f t="shared" si="1"/>
        <v>1.3888888888888883E-2</v>
      </c>
      <c r="J49" s="2">
        <f t="shared" si="2"/>
        <v>5.4450000000000003</v>
      </c>
    </row>
    <row r="50" spans="8:10" x14ac:dyDescent="0.25">
      <c r="H50" s="1">
        <f t="shared" si="0"/>
        <v>21</v>
      </c>
      <c r="I50" s="13">
        <f t="shared" si="1"/>
        <v>1.4583333333333327E-2</v>
      </c>
      <c r="J50" s="2">
        <f t="shared" si="2"/>
        <v>5.7450000000000001</v>
      </c>
    </row>
    <row r="51" spans="8:10" x14ac:dyDescent="0.25">
      <c r="H51" s="1">
        <f t="shared" si="0"/>
        <v>22</v>
      </c>
      <c r="I51" s="13">
        <f t="shared" si="1"/>
        <v>1.527777777777777E-2</v>
      </c>
      <c r="J51" s="2">
        <f t="shared" si="2"/>
        <v>6.0449999999999999</v>
      </c>
    </row>
    <row r="52" spans="8:10" x14ac:dyDescent="0.25">
      <c r="H52" s="1">
        <f t="shared" si="0"/>
        <v>23</v>
      </c>
      <c r="I52" s="13">
        <f t="shared" si="1"/>
        <v>1.5972222222222214E-2</v>
      </c>
      <c r="J52" s="2">
        <f t="shared" si="2"/>
        <v>6.3449999999999998</v>
      </c>
    </row>
    <row r="53" spans="8:10" x14ac:dyDescent="0.25">
      <c r="H53" s="1">
        <f t="shared" si="0"/>
        <v>24</v>
      </c>
      <c r="I53" s="13">
        <f t="shared" si="1"/>
        <v>1.6666666666666659E-2</v>
      </c>
      <c r="J53" s="2">
        <f t="shared" si="2"/>
        <v>6.6449999999999996</v>
      </c>
    </row>
    <row r="54" spans="8:10" x14ac:dyDescent="0.25">
      <c r="H54" s="1">
        <f t="shared" si="0"/>
        <v>25</v>
      </c>
      <c r="I54" s="13">
        <f t="shared" si="1"/>
        <v>1.7361111111111105E-2</v>
      </c>
      <c r="J54" s="2">
        <f t="shared" si="2"/>
        <v>6.9450000000000003</v>
      </c>
    </row>
    <row r="55" spans="8:10" x14ac:dyDescent="0.25">
      <c r="H55" s="1">
        <f t="shared" si="0"/>
        <v>26</v>
      </c>
      <c r="I55" s="13">
        <f t="shared" si="1"/>
        <v>1.805555555555555E-2</v>
      </c>
      <c r="J55" s="2">
        <f t="shared" si="2"/>
        <v>7.2450000000000001</v>
      </c>
    </row>
    <row r="56" spans="8:10" x14ac:dyDescent="0.25">
      <c r="H56" s="1">
        <f t="shared" si="0"/>
        <v>27</v>
      </c>
      <c r="I56" s="13">
        <f t="shared" si="1"/>
        <v>1.8749999999999996E-2</v>
      </c>
      <c r="J56" s="2">
        <f t="shared" si="2"/>
        <v>7.5449999999999999</v>
      </c>
    </row>
    <row r="57" spans="8:10" x14ac:dyDescent="0.25">
      <c r="H57" s="1">
        <f t="shared" si="0"/>
        <v>28</v>
      </c>
      <c r="I57" s="13">
        <f t="shared" si="1"/>
        <v>1.9444444444444441E-2</v>
      </c>
      <c r="J57" s="2">
        <f t="shared" si="2"/>
        <v>7.8450000000000006</v>
      </c>
    </row>
    <row r="58" spans="8:10" x14ac:dyDescent="0.25">
      <c r="H58" s="1">
        <f t="shared" si="0"/>
        <v>29</v>
      </c>
      <c r="I58" s="13">
        <f t="shared" si="1"/>
        <v>2.0138888888888887E-2</v>
      </c>
      <c r="J58" s="2">
        <f t="shared" si="2"/>
        <v>8.1449999999999996</v>
      </c>
    </row>
    <row r="59" spans="8:10" x14ac:dyDescent="0.25">
      <c r="H59" s="1">
        <f t="shared" si="0"/>
        <v>30</v>
      </c>
      <c r="I59" s="13">
        <f t="shared" si="1"/>
        <v>2.0833333333333332E-2</v>
      </c>
      <c r="J59" s="2">
        <f t="shared" si="2"/>
        <v>8.4450000000000003</v>
      </c>
    </row>
    <row r="60" spans="8:10" x14ac:dyDescent="0.25">
      <c r="H60" s="1">
        <f t="shared" si="0"/>
        <v>31</v>
      </c>
      <c r="I60" s="13">
        <f t="shared" si="1"/>
        <v>2.1527777777777778E-2</v>
      </c>
      <c r="J60" s="2">
        <f t="shared" si="2"/>
        <v>8.7449999999999992</v>
      </c>
    </row>
    <row r="61" spans="8:10" x14ac:dyDescent="0.25">
      <c r="H61" s="1">
        <f t="shared" si="0"/>
        <v>32</v>
      </c>
      <c r="I61" s="13">
        <f t="shared" si="1"/>
        <v>2.2222222222222223E-2</v>
      </c>
      <c r="J61" s="2">
        <f t="shared" si="2"/>
        <v>9.0449999999999999</v>
      </c>
    </row>
    <row r="62" spans="8:10" x14ac:dyDescent="0.25">
      <c r="H62" s="1">
        <f t="shared" si="0"/>
        <v>33</v>
      </c>
      <c r="I62" s="13">
        <f t="shared" si="1"/>
        <v>2.2916666666666669E-2</v>
      </c>
      <c r="J62" s="2">
        <f t="shared" si="2"/>
        <v>9.3450000000000006</v>
      </c>
    </row>
    <row r="63" spans="8:10" x14ac:dyDescent="0.25">
      <c r="H63" s="1">
        <f t="shared" si="0"/>
        <v>34</v>
      </c>
      <c r="I63" s="13">
        <f t="shared" si="1"/>
        <v>2.3611111111111114E-2</v>
      </c>
      <c r="J63" s="2">
        <f t="shared" si="2"/>
        <v>9.6449999999999996</v>
      </c>
    </row>
    <row r="64" spans="8:10" x14ac:dyDescent="0.25">
      <c r="H64" s="1">
        <f t="shared" si="0"/>
        <v>35</v>
      </c>
      <c r="I64" s="13">
        <f t="shared" si="1"/>
        <v>2.4305555555555559E-2</v>
      </c>
      <c r="J64" s="14">
        <v>10</v>
      </c>
    </row>
    <row r="65" spans="7:10" x14ac:dyDescent="0.25">
      <c r="H65" s="1">
        <f t="shared" si="0"/>
        <v>36</v>
      </c>
      <c r="I65" s="13">
        <f t="shared" si="1"/>
        <v>2.5000000000000005E-2</v>
      </c>
      <c r="J65" s="14">
        <v>10</v>
      </c>
    </row>
    <row r="66" spans="7:10" x14ac:dyDescent="0.25">
      <c r="H66" s="1">
        <f t="shared" si="0"/>
        <v>37</v>
      </c>
      <c r="I66" s="13">
        <f t="shared" si="1"/>
        <v>2.569444444444445E-2</v>
      </c>
      <c r="J66" s="14">
        <v>10</v>
      </c>
    </row>
    <row r="67" spans="7:10" x14ac:dyDescent="0.25">
      <c r="H67" s="1">
        <f t="shared" si="0"/>
        <v>38</v>
      </c>
      <c r="I67" s="13">
        <f t="shared" si="1"/>
        <v>2.6388888888888896E-2</v>
      </c>
      <c r="J67" s="14">
        <v>10</v>
      </c>
    </row>
    <row r="68" spans="7:10" x14ac:dyDescent="0.25">
      <c r="H68" s="1">
        <f t="shared" si="0"/>
        <v>39</v>
      </c>
      <c r="I68" s="13">
        <f t="shared" si="1"/>
        <v>2.7083333333333341E-2</v>
      </c>
      <c r="J68" s="14">
        <v>10</v>
      </c>
    </row>
    <row r="69" spans="7:10" x14ac:dyDescent="0.25">
      <c r="H69" s="1">
        <f t="shared" si="0"/>
        <v>40</v>
      </c>
      <c r="I69" s="13">
        <f t="shared" si="1"/>
        <v>2.7777777777777787E-2</v>
      </c>
      <c r="J69" s="14">
        <v>10</v>
      </c>
    </row>
    <row r="70" spans="7:10" x14ac:dyDescent="0.25">
      <c r="G70" s="15">
        <f>(J74-J70)/(H74-H70)</f>
        <v>-2.25</v>
      </c>
      <c r="H70" s="1">
        <f t="shared" si="0"/>
        <v>41</v>
      </c>
      <c r="I70" s="13">
        <f t="shared" si="1"/>
        <v>2.8472222222222232E-2</v>
      </c>
      <c r="J70" s="14">
        <v>10</v>
      </c>
    </row>
    <row r="71" spans="7:10" x14ac:dyDescent="0.25">
      <c r="H71" s="1">
        <f t="shared" si="0"/>
        <v>42</v>
      </c>
      <c r="I71" s="13">
        <f t="shared" si="1"/>
        <v>2.9166666666666678E-2</v>
      </c>
      <c r="J71" s="2">
        <f>($G$70*$H71)+102</f>
        <v>7.5</v>
      </c>
    </row>
    <row r="72" spans="7:10" x14ac:dyDescent="0.25">
      <c r="H72" s="1">
        <f t="shared" si="0"/>
        <v>43</v>
      </c>
      <c r="I72" s="13">
        <f t="shared" si="1"/>
        <v>2.9861111111111123E-2</v>
      </c>
      <c r="J72" s="2">
        <f>($G$70*$H72)+102</f>
        <v>5.25</v>
      </c>
    </row>
    <row r="73" spans="7:10" x14ac:dyDescent="0.25">
      <c r="H73" s="1">
        <f t="shared" si="0"/>
        <v>44</v>
      </c>
      <c r="I73" s="13">
        <f t="shared" si="1"/>
        <v>3.0555555555555568E-2</v>
      </c>
      <c r="J73" s="2">
        <f>($G$70*$H73)+102</f>
        <v>3</v>
      </c>
    </row>
    <row r="74" spans="7:10" x14ac:dyDescent="0.25">
      <c r="H74" s="1">
        <f t="shared" si="0"/>
        <v>45</v>
      </c>
      <c r="I74" s="13">
        <f t="shared" si="1"/>
        <v>3.1250000000000014E-2</v>
      </c>
      <c r="J74" s="14">
        <v>1</v>
      </c>
    </row>
    <row r="75" spans="7:10" x14ac:dyDescent="0.25">
      <c r="I75" s="13"/>
    </row>
    <row r="76" spans="7:10" x14ac:dyDescent="0.25">
      <c r="I76" s="13"/>
    </row>
    <row r="77" spans="7:10" x14ac:dyDescent="0.25">
      <c r="I77" s="13"/>
    </row>
    <row r="78" spans="7:10" x14ac:dyDescent="0.25">
      <c r="I78" s="13"/>
    </row>
    <row r="79" spans="7:10" x14ac:dyDescent="0.25">
      <c r="I79" s="13"/>
    </row>
    <row r="80" spans="7:10" x14ac:dyDescent="0.25">
      <c r="I80" s="13"/>
    </row>
    <row r="81" spans="9:9" x14ac:dyDescent="0.25">
      <c r="I81" s="13"/>
    </row>
    <row r="82" spans="9:9" x14ac:dyDescent="0.25">
      <c r="I82" s="13"/>
    </row>
    <row r="83" spans="9:9" x14ac:dyDescent="0.25">
      <c r="I83" s="13"/>
    </row>
    <row r="84" spans="9:9" x14ac:dyDescent="0.25">
      <c r="I84" s="13"/>
    </row>
    <row r="85" spans="9:9" x14ac:dyDescent="0.25">
      <c r="I85" s="13"/>
    </row>
    <row r="86" spans="9:9" x14ac:dyDescent="0.25">
      <c r="I86" s="13"/>
    </row>
    <row r="87" spans="9:9" x14ac:dyDescent="0.25">
      <c r="I87" s="13"/>
    </row>
    <row r="88" spans="9:9" x14ac:dyDescent="0.25">
      <c r="I88" s="13"/>
    </row>
    <row r="89" spans="9:9" x14ac:dyDescent="0.25">
      <c r="I89" s="13"/>
    </row>
    <row r="90" spans="9:9" x14ac:dyDescent="0.25">
      <c r="I90" s="13"/>
    </row>
    <row r="91" spans="9:9" x14ac:dyDescent="0.25">
      <c r="I91" s="13"/>
    </row>
    <row r="92" spans="9:9" x14ac:dyDescent="0.25">
      <c r="I92" s="13"/>
    </row>
    <row r="93" spans="9:9" x14ac:dyDescent="0.25">
      <c r="I93" s="13"/>
    </row>
    <row r="94" spans="9:9" x14ac:dyDescent="0.25">
      <c r="I94" s="13"/>
    </row>
    <row r="95" spans="9:9" x14ac:dyDescent="0.25">
      <c r="I95" s="13"/>
    </row>
    <row r="96" spans="9:9" x14ac:dyDescent="0.25">
      <c r="I96" s="13"/>
    </row>
    <row r="97" spans="9:9" x14ac:dyDescent="0.25">
      <c r="I97" s="13"/>
    </row>
    <row r="98" spans="9:9" x14ac:dyDescent="0.25">
      <c r="I98" s="13"/>
    </row>
    <row r="99" spans="9:9" x14ac:dyDescent="0.25">
      <c r="I99" s="13"/>
    </row>
    <row r="100" spans="9:9" x14ac:dyDescent="0.25">
      <c r="I100" s="13"/>
    </row>
    <row r="101" spans="9:9" x14ac:dyDescent="0.25">
      <c r="I101" s="13"/>
    </row>
    <row r="102" spans="9:9" x14ac:dyDescent="0.25">
      <c r="I102" s="13"/>
    </row>
    <row r="103" spans="9:9" x14ac:dyDescent="0.25">
      <c r="I103" s="13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8166A-4479-4B51-B5AE-BDB74D4D14A7}">
  <dimension ref="B3:B20"/>
  <sheetViews>
    <sheetView workbookViewId="0"/>
  </sheetViews>
  <sheetFormatPr defaultRowHeight="15" x14ac:dyDescent="0.25"/>
  <cols>
    <col min="2" max="2" width="16" bestFit="1" customWidth="1"/>
  </cols>
  <sheetData>
    <row r="3" spans="2:2" ht="15.75" x14ac:dyDescent="0.25">
      <c r="B3" s="6" t="s">
        <v>11</v>
      </c>
    </row>
    <row r="20" spans="2:2" ht="15.75" x14ac:dyDescent="0.25">
      <c r="B20" s="6" t="s">
        <v>12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CC68AAABCD754790516F63644BC6CF" ma:contentTypeVersion="22" ma:contentTypeDescription="Create a new document." ma:contentTypeScope="" ma:versionID="c2fb7fbd34ec3ca611d2812f344ccb64">
  <xsd:schema xmlns:xsd="http://www.w3.org/2001/XMLSchema" xmlns:xs="http://www.w3.org/2001/XMLSchema" xmlns:p="http://schemas.microsoft.com/office/2006/metadata/properties" xmlns:ns2="9adfb729-c661-4551-95df-6975ca7e8e66" xmlns:ns3="67def378-8209-4d3b-99b3-65bfcf3da265" targetNamespace="http://schemas.microsoft.com/office/2006/metadata/properties" ma:root="true" ma:fieldsID="d7eed90ee892dc2d6cf762b89f625b6f" ns2:_="" ns3:_="">
    <xsd:import namespace="9adfb729-c661-4551-95df-6975ca7e8e66"/>
    <xsd:import namespace="67def378-8209-4d3b-99b3-65bfcf3da2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onth" minOccurs="0"/>
                <xsd:element ref="ns2:Checked" minOccurs="0"/>
                <xsd:element ref="ns2:Checked0"/>
                <xsd:element ref="ns2:CustomerDirectorate" minOccurs="0"/>
                <xsd:element ref="ns2:MQStatus" minOccurs="0"/>
                <xsd:element ref="ns2:LeadUnit" minOccurs="0"/>
                <xsd:element ref="ns2:Leadcoordinato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dfb729-c661-4551-95df-6975ca7e8e6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651981c-07c9-48be-a366-aa18a08a638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onth" ma:index="23" nillable="true" ma:displayName="Month" ma:format="Dropdown" ma:internalName="Month">
      <xsd:simpleType>
        <xsd:restriction base="dms:Text">
          <xsd:maxLength value="255"/>
        </xsd:restriction>
      </xsd:simpleType>
    </xsd:element>
    <xsd:element name="Checked" ma:index="24" nillable="true" ma:displayName="Status" ma:default="None" ma:format="Dropdown" ma:internalName="Checked">
      <xsd:simpleType>
        <xsd:restriction base="dms:Choice">
          <xsd:enumeration value="Active"/>
          <xsd:enumeration value="Cancelled"/>
          <xsd:enumeration value="Completed"/>
          <xsd:enumeration value="On-Hold"/>
          <xsd:enumeration value="Pre-Active"/>
          <xsd:enumeration value="None"/>
        </xsd:restriction>
      </xsd:simpleType>
    </xsd:element>
    <xsd:element name="Checked0" ma:index="25" ma:displayName="Checked" ma:default="0" ma:description="Checked against previous ORS folder to ensure all files are present" ma:format="Dropdown" ma:internalName="Checked0">
      <xsd:simpleType>
        <xsd:restriction base="dms:Boolean"/>
      </xsd:simpleType>
    </xsd:element>
    <xsd:element name="CustomerDirectorate" ma:index="26" nillable="true" ma:displayName="Customer Directorate" ma:format="Dropdown" ma:internalName="CustomerDirectorate">
      <xsd:simpleType>
        <xsd:restriction base="dms:Choice">
          <xsd:enumeration value="Chief Finance Officer"/>
          <xsd:enumeration value="Chief Officer"/>
          <xsd:enumeration value="Community &amp; Skills"/>
          <xsd:enumeration value="Corporate Resources"/>
          <xsd:enumeration value="Good Growth"/>
          <xsd:enumeration value="Housing &amp; Land"/>
          <xsd:enumeration value="London Assembly"/>
          <xsd:enumeration value="MOPAC"/>
          <xsd:enumeration value="Strategy and Comms"/>
          <xsd:enumeration value="Other"/>
        </xsd:restriction>
      </xsd:simpleType>
    </xsd:element>
    <xsd:element name="MQStatus" ma:index="27" nillable="true" ma:displayName="MQ Status" ma:format="Dropdown" ma:internalName="MQStatus">
      <xsd:simpleType>
        <xsd:restriction base="dms:Text">
          <xsd:maxLength value="255"/>
        </xsd:restriction>
      </xsd:simpleType>
    </xsd:element>
    <xsd:element name="LeadUnit" ma:index="28" nillable="true" ma:displayName="Lead Unit" ma:format="Dropdown" ma:internalName="LeadUnit">
      <xsd:simpleType>
        <xsd:restriction base="dms:Text">
          <xsd:maxLength value="255"/>
        </xsd:restriction>
      </xsd:simpleType>
    </xsd:element>
    <xsd:element name="Leadcoordinator" ma:index="29" nillable="true" ma:displayName="Lead coordinator" ma:format="Dropdown" ma:list="UserInfo" ma:SharePointGroup="0" ma:internalName="Leadcoordinat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def378-8209-4d3b-99b3-65bfcf3da26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2e241d16-0a2c-4e53-a35f-c81cc7a64d6a}" ma:internalName="TaxCatchAll" ma:showField="CatchAllData" ma:web="67def378-8209-4d3b-99b3-65bfcf3da2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7def378-8209-4d3b-99b3-65bfcf3da265" xsi:nil="true"/>
    <LeadUnit xmlns="9adfb729-c661-4551-95df-6975ca7e8e66" xsi:nil="true"/>
    <Month xmlns="9adfb729-c661-4551-95df-6975ca7e8e66" xsi:nil="true"/>
    <Checked0 xmlns="9adfb729-c661-4551-95df-6975ca7e8e66">false</Checked0>
    <Checked xmlns="9adfb729-c661-4551-95df-6975ca7e8e66">None</Checked>
    <Leadcoordinator xmlns="9adfb729-c661-4551-95df-6975ca7e8e66">
      <UserInfo>
        <DisplayName/>
        <AccountId xsi:nil="true"/>
        <AccountType/>
      </UserInfo>
    </Leadcoordinator>
    <lcf76f155ced4ddcb4097134ff3c332f xmlns="9adfb729-c661-4551-95df-6975ca7e8e66">
      <Terms xmlns="http://schemas.microsoft.com/office/infopath/2007/PartnerControls"/>
    </lcf76f155ced4ddcb4097134ff3c332f>
    <CustomerDirectorate xmlns="9adfb729-c661-4551-95df-6975ca7e8e66" xsi:nil="true"/>
    <MQStatus xmlns="9adfb729-c661-4551-95df-6975ca7e8e66" xsi:nil="true"/>
  </documentManagement>
</p:properties>
</file>

<file path=customXml/itemProps1.xml><?xml version="1.0" encoding="utf-8"?>
<ds:datastoreItem xmlns:ds="http://schemas.openxmlformats.org/officeDocument/2006/customXml" ds:itemID="{043725F6-1380-49A4-B8F3-A137CD702AB4}"/>
</file>

<file path=customXml/itemProps2.xml><?xml version="1.0" encoding="utf-8"?>
<ds:datastoreItem xmlns:ds="http://schemas.openxmlformats.org/officeDocument/2006/customXml" ds:itemID="{47F7EEFF-26E5-4EB5-8674-D308DA3D614B}"/>
</file>

<file path=customXml/itemProps3.xml><?xml version="1.0" encoding="utf-8"?>
<ds:datastoreItem xmlns:ds="http://schemas.openxmlformats.org/officeDocument/2006/customXml" ds:itemID="{805830C0-481B-438C-ADFA-D825520C54A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JMeter</vt:lpstr>
      <vt:lpstr>JMeter 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Arnold</dc:creator>
  <cp:lastModifiedBy>Brian Arnold</cp:lastModifiedBy>
  <cp:lastPrinted>2021-02-12T11:40:41Z</cp:lastPrinted>
  <dcterms:created xsi:type="dcterms:W3CDTF">2015-06-05T18:17:20Z</dcterms:created>
  <dcterms:modified xsi:type="dcterms:W3CDTF">2022-04-14T14:50:03Z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0x01010021CC68AAABCD754790516F63644BC6CF</vt:lpwstr>
  </property>
</Properties>
</file>
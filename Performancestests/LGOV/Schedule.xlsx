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++ WORK ++\-- LGOV --\Drupal10\PERF_TESTS\"/>
    </mc:Choice>
  </mc:AlternateContent>
  <xr:revisionPtr revIDLastSave="0" documentId="13_ncr:1_{B2C48C41-58D0-49EF-BED9-AACCB0A19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hedule" sheetId="1" r:id="rId1"/>
    <sheet name="Met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6" i="1"/>
  <c r="I45" i="1"/>
  <c r="I44" i="1"/>
  <c r="I43" i="1"/>
  <c r="I47" i="1"/>
  <c r="I42" i="1"/>
  <c r="I41" i="1"/>
  <c r="I40" i="1"/>
  <c r="I39" i="1"/>
  <c r="I37" i="1"/>
  <c r="I38" i="1"/>
  <c r="I36" i="1"/>
  <c r="I35" i="1"/>
  <c r="I34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 l="1"/>
  <c r="I11" i="1"/>
  <c r="I10" i="1"/>
  <c r="I9" i="1"/>
  <c r="I6" i="1"/>
  <c r="I5" i="1"/>
  <c r="I4" i="1"/>
  <c r="I8" i="1"/>
  <c r="I7" i="1"/>
  <c r="I2" i="1"/>
  <c r="I3" i="1"/>
  <c r="I75" i="1" l="1"/>
</calcChain>
</file>

<file path=xl/sharedStrings.xml><?xml version="1.0" encoding="utf-8"?>
<sst xmlns="http://schemas.openxmlformats.org/spreadsheetml/2006/main" count="846" uniqueCount="231">
  <si>
    <t>BrowseNormal</t>
  </si>
  <si>
    <t>PollingStationFinder</t>
  </si>
  <si>
    <t>Search</t>
  </si>
  <si>
    <t>Baseline-1VU</t>
  </si>
  <si>
    <t>VURamp1</t>
  </si>
  <si>
    <t>VURamp2</t>
  </si>
  <si>
    <t>TEST</t>
  </si>
  <si>
    <t>SCENARIO</t>
  </si>
  <si>
    <t>DATE</t>
  </si>
  <si>
    <t>TIME START</t>
  </si>
  <si>
    <t>TIME END</t>
  </si>
  <si>
    <t>LENGTH</t>
  </si>
  <si>
    <t>RUN</t>
  </si>
  <si>
    <t>ORDER</t>
  </si>
  <si>
    <t>WINDOW START</t>
  </si>
  <si>
    <t>WINDOW END</t>
  </si>
  <si>
    <t>RESULT</t>
  </si>
  <si>
    <t>Pass</t>
  </si>
  <si>
    <t>Borderline</t>
  </si>
  <si>
    <t>FAIL - Spurious</t>
  </si>
  <si>
    <t>FAIL</t>
  </si>
  <si>
    <t>DESCRIPTION</t>
  </si>
  <si>
    <t>METRICS</t>
  </si>
  <si>
    <t>N</t>
  </si>
  <si>
    <t>Every 5 secs</t>
  </si>
  <si>
    <t>To 10 hits/sec over 10 mins - Hold for 30 mins</t>
  </si>
  <si>
    <t>To 10 hits/sec over 60 mins</t>
  </si>
  <si>
    <t>To 5 hits/sec over 15 mins</t>
  </si>
  <si>
    <t>Trouble starts at 4 Hits/Sec</t>
  </si>
  <si>
    <t>(against PenTest)</t>
  </si>
  <si>
    <t>https://160373243799.signin.aws.amazon.com/console/</t>
  </si>
  <si>
    <t>Amazon Web Services Console - Live</t>
  </si>
  <si>
    <t>BrianArnold</t>
  </si>
  <si>
    <t>mID]-@*8!GV#</t>
  </si>
  <si>
    <t>not available</t>
  </si>
  <si>
    <t>LondonElects perftest Drupal</t>
  </si>
  <si>
    <t>Drupal</t>
  </si>
  <si>
    <t>RDS</t>
  </si>
  <si>
    <t>Launch time :</t>
  </si>
  <si>
    <t>Wed Mar 06 2024 14:41:14 GMT+0000 (Greenwich Mean Time)</t>
  </si>
  <si>
    <t>Private IPv4 addresses :</t>
  </si>
  <si>
    <t>172.28.2.124</t>
  </si>
  <si>
    <t>172.28.1.230</t>
  </si>
  <si>
    <t>Wed Feb 14 2024 17:31:08 GMT+0000 (Greenwich Mean Time)</t>
  </si>
  <si>
    <t>Instance class :</t>
  </si>
  <si>
    <t>vCPU :</t>
  </si>
  <si>
    <t>RAM :</t>
  </si>
  <si>
    <t>LondonElects pentest Drupal</t>
  </si>
  <si>
    <t>nothing noteworthy</t>
  </si>
  <si>
    <t>Y</t>
  </si>
  <si>
    <t>Drupal CPU 50%, DB CPU 8%</t>
  </si>
  <si>
    <t>After 15 mins: Drupal CPU +50%, DB CPU +15%</t>
  </si>
  <si>
    <t>t3a.medium</t>
  </si>
  <si>
    <t>PerfTest was mis-configured</t>
  </si>
  <si>
    <t>HEADLINES</t>
  </si>
  <si>
    <r>
      <t xml:space="preserve">Performance Health Check </t>
    </r>
    <r>
      <rPr>
        <sz val="12"/>
        <rFont val="Arial"/>
        <family val="2"/>
      </rPr>
      <t>- No Issues</t>
    </r>
  </si>
  <si>
    <t>Changed InstanceType to t3a.large</t>
  </si>
  <si>
    <r>
      <t>James created a number of sub tasks linked to this ticket</t>
    </r>
    <r>
      <rPr>
        <i/>
        <sz val="12"/>
        <color theme="1"/>
        <rFont val="Arial"/>
        <family val="2"/>
      </rPr>
      <t xml:space="preserve"> (https://london.atlassian.net/browse/LE-603)</t>
    </r>
    <r>
      <rPr>
        <sz val="12"/>
        <color theme="1"/>
        <rFont val="Arial"/>
        <family val="2"/>
      </rPr>
      <t xml:space="preserve"> off the back of our conversations today. He will add our suggested mitigations.</t>
    </r>
  </si>
  <si>
    <r>
      <t xml:space="preserve">James also created the Cloudflare ticket for Matt </t>
    </r>
    <r>
      <rPr>
        <i/>
        <sz val="12"/>
        <color theme="1"/>
        <rFont val="Arial"/>
        <family val="2"/>
      </rPr>
      <t>(https://london.atlassian.net/browse/MAINT-946)</t>
    </r>
  </si>
  <si>
    <t>LE-603 - London Elects - Post D10 Performance Test requirements</t>
  </si>
  <si>
    <t>LE-637 - London Elects Broken Link Report</t>
  </si>
  <si>
    <t>LE-638 - London Elects - Browse Ramp Tests</t>
  </si>
  <si>
    <t>LE-639 - London Elects - Polling station finder Tests</t>
  </si>
  <si>
    <t>LE-640 - 
London Elects - Editing results whilst under load</t>
  </si>
  <si>
    <t>Same as before, aborted</t>
  </si>
  <si>
    <r>
      <t xml:space="preserve">Minus 404s </t>
    </r>
    <r>
      <rPr>
        <i/>
        <sz val="12"/>
        <color theme="1"/>
        <rFont val="Arial"/>
        <family val="2"/>
      </rPr>
      <t>(2 URLs)</t>
    </r>
  </si>
  <si>
    <t>Slightly better, aborted</t>
  </si>
  <si>
    <t>Changed InstanceType to c6a.xlarge</t>
  </si>
  <si>
    <r>
      <rPr>
        <b/>
        <sz val="12"/>
        <color rgb="FF00B050"/>
        <rFont val="Arial"/>
        <family val="2"/>
      </rPr>
      <t xml:space="preserve">MUCH better </t>
    </r>
    <r>
      <rPr>
        <sz val="12"/>
        <color rgb="FF00B050"/>
        <rFont val="Arial"/>
        <family val="2"/>
      </rPr>
      <t xml:space="preserve">- </t>
    </r>
    <r>
      <rPr>
        <sz val="12"/>
        <color rgb="FFFF0000"/>
        <rFont val="Arial"/>
        <family val="2"/>
      </rPr>
      <t xml:space="preserve">Test was FLAWED somehow </t>
    </r>
    <r>
      <rPr>
        <i/>
        <sz val="12"/>
        <color rgb="FFFF0000"/>
        <rFont val="Arial"/>
        <family val="2"/>
      </rPr>
      <t>(JMeter NOT achieving the requested load) copied Load Profile from Search Ramp1 instead</t>
    </r>
  </si>
  <si>
    <t>Same as before</t>
  </si>
  <si>
    <t>James also Linked LE-639 to Election 2019 ticket (LE-267) as previous reports / findings may help / be able to benchmark against</t>
  </si>
  <si>
    <t>POLLING STATION FINDER</t>
  </si>
  <si>
    <t>The fetch from the Democracy Club External API may be hanging ?</t>
  </si>
  <si>
    <t>Matt - Look at the code</t>
  </si>
  <si>
    <t>Brian - Supply questions for Supplier</t>
  </si>
  <si>
    <t>The API's performance may be deprecated during non-election periods ?</t>
  </si>
  <si>
    <t>Possible Cause</t>
  </si>
  <si>
    <t>Action</t>
  </si>
  <si>
    <t>The API may be applying rate limiting to our requests ?</t>
  </si>
  <si>
    <t>Something else ?</t>
  </si>
  <si>
    <t>DisplayResultsPages</t>
  </si>
  <si>
    <r>
      <rPr>
        <sz val="12"/>
        <color rgb="FF00B050"/>
        <rFont val="Arial"/>
        <family val="2"/>
      </rPr>
      <t>Search</t>
    </r>
    <r>
      <rPr>
        <sz val="12"/>
        <color theme="1"/>
        <rFont val="Arial"/>
        <family val="2"/>
      </rPr>
      <t xml:space="preserve"> - Pass</t>
    </r>
  </si>
  <si>
    <t>To 50 hits/sec over 60 mins</t>
  </si>
  <si>
    <t>Very basic content</t>
  </si>
  <si>
    <r>
      <t xml:space="preserve">Results Pages - </t>
    </r>
    <r>
      <rPr>
        <sz val="12"/>
        <rFont val="Arial"/>
        <family val="2"/>
      </rPr>
      <t>No isssues</t>
    </r>
  </si>
  <si>
    <t>VURamp3</t>
  </si>
  <si>
    <t>DownloadPDFs</t>
  </si>
  <si>
    <t>To 20 hits/sec over 60 mins (no save)</t>
  </si>
  <si>
    <r>
      <rPr>
        <b/>
        <sz val="12"/>
        <rFont val="Arial"/>
        <family val="2"/>
      </rPr>
      <t xml:space="preserve">PDF Download - </t>
    </r>
    <r>
      <rPr>
        <b/>
        <sz val="12"/>
        <color rgb="FFFF0000"/>
        <rFont val="Arial"/>
        <family val="2"/>
      </rPr>
      <t>?</t>
    </r>
  </si>
  <si>
    <r>
      <t>Still to be tested - Re- test nearer the Election</t>
    </r>
    <r>
      <rPr>
        <sz val="12"/>
        <rFont val="Arial"/>
        <family val="2"/>
      </rPr>
      <t xml:space="preserve"> - Possibly OOH on LIVE ? </t>
    </r>
    <r>
      <rPr>
        <i/>
        <sz val="12"/>
        <rFont val="Arial"/>
        <family val="2"/>
      </rPr>
      <t>(REPEAT of Largest Ramps)</t>
    </r>
  </si>
  <si>
    <t>404s</t>
  </si>
  <si>
    <t>CacheBreaker</t>
  </si>
  <si>
    <t>DB replaced from Prod</t>
  </si>
  <si>
    <r>
      <t xml:space="preserve">Drupal CPU </t>
    </r>
    <r>
      <rPr>
        <b/>
        <sz val="12"/>
        <color rgb="FFFF0000"/>
        <rFont val="Arial"/>
        <family val="2"/>
      </rPr>
      <t>95</t>
    </r>
    <r>
      <rPr>
        <b/>
        <sz val="12"/>
        <rFont val="Arial"/>
        <family val="2"/>
      </rPr>
      <t xml:space="preserve">%, DB CPU </t>
    </r>
    <r>
      <rPr>
        <b/>
        <sz val="12"/>
        <color rgb="FFFF0000"/>
        <rFont val="Arial"/>
        <family val="2"/>
      </rPr>
      <t>40</t>
    </r>
    <r>
      <rPr>
        <b/>
        <sz val="12"/>
        <rFont val="Arial"/>
        <family val="2"/>
      </rPr>
      <t xml:space="preserve">% - Achieved </t>
    </r>
    <r>
      <rPr>
        <b/>
        <sz val="12"/>
        <color rgb="FFFF0000"/>
        <rFont val="Arial"/>
        <family val="2"/>
      </rPr>
      <t>30</t>
    </r>
    <r>
      <rPr>
        <b/>
        <sz val="12"/>
        <rFont val="Arial"/>
        <family val="2"/>
      </rPr>
      <t xml:space="preserve"> hits/sec</t>
    </r>
  </si>
  <si>
    <r>
      <t xml:space="preserve">No Load seen - JMeter Test Achieved </t>
    </r>
    <r>
      <rPr>
        <b/>
        <sz val="12"/>
        <color rgb="FFFF0000"/>
        <rFont val="Arial"/>
        <family val="2"/>
      </rPr>
      <t>4</t>
    </r>
    <r>
      <rPr>
        <b/>
        <sz val="12"/>
        <color theme="1"/>
        <rFont val="Arial"/>
        <family val="2"/>
      </rPr>
      <t xml:space="preserve"> hits/sec</t>
    </r>
  </si>
  <si>
    <r>
      <t xml:space="preserve">Drupal CPU </t>
    </r>
    <r>
      <rPr>
        <b/>
        <sz val="12"/>
        <color rgb="FFFF0000"/>
        <rFont val="Arial"/>
        <family val="2"/>
      </rPr>
      <t>65</t>
    </r>
    <r>
      <rPr>
        <b/>
        <sz val="12"/>
        <rFont val="Arial"/>
        <family val="2"/>
      </rPr>
      <t xml:space="preserve">%, DB CPU </t>
    </r>
    <r>
      <rPr>
        <b/>
        <sz val="12"/>
        <color rgb="FFFF0000"/>
        <rFont val="Arial"/>
        <family val="2"/>
      </rPr>
      <t>50</t>
    </r>
    <r>
      <rPr>
        <b/>
        <sz val="12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rFont val="Arial"/>
        <family val="2"/>
      </rPr>
      <t xml:space="preserve"> hits/sec</t>
    </r>
  </si>
  <si>
    <r>
      <t xml:space="preserve">Drupal CPU 35%, DB CPU 20% - Achieved </t>
    </r>
    <r>
      <rPr>
        <b/>
        <sz val="12"/>
        <color rgb="FFFF0000"/>
        <rFont val="Arial"/>
        <family val="2"/>
      </rPr>
      <t xml:space="preserve">25 </t>
    </r>
    <r>
      <rPr>
        <b/>
        <sz val="12"/>
        <rFont val="Arial"/>
        <family val="2"/>
      </rPr>
      <t>hits/sec</t>
    </r>
  </si>
  <si>
    <r>
      <t>Drupal CPU</t>
    </r>
    <r>
      <rPr>
        <b/>
        <sz val="12"/>
        <color rgb="FFFF0000"/>
        <rFont val="Arial"/>
        <family val="2"/>
      </rPr>
      <t xml:space="preserve"> 60</t>
    </r>
    <r>
      <rPr>
        <b/>
        <sz val="12"/>
        <rFont val="Arial"/>
        <family val="2"/>
      </rPr>
      <t>%, DB CPU 30% - Achieved</t>
    </r>
    <r>
      <rPr>
        <b/>
        <sz val="12"/>
        <color rgb="FFFF0000"/>
        <rFont val="Arial"/>
        <family val="2"/>
      </rPr>
      <t xml:space="preserve"> 42</t>
    </r>
    <r>
      <rPr>
        <b/>
        <sz val="12"/>
        <rFont val="Arial"/>
        <family val="2"/>
      </rPr>
      <t xml:space="preserve"> hits/sec</t>
    </r>
  </si>
  <si>
    <r>
      <t xml:space="preserve">Drupal CPU 35%, DB CPU </t>
    </r>
    <r>
      <rPr>
        <b/>
        <sz val="12"/>
        <color rgb="FF00B050"/>
        <rFont val="Arial"/>
        <family val="2"/>
      </rPr>
      <t>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10</t>
    </r>
    <r>
      <rPr>
        <b/>
        <sz val="12"/>
        <color theme="1"/>
        <rFont val="Arial"/>
        <family val="2"/>
      </rPr>
      <t xml:space="preserve"> hits/sec</t>
    </r>
  </si>
  <si>
    <t>?</t>
  </si>
  <si>
    <t>Forces auto-scale</t>
  </si>
  <si>
    <t>Zero CPU after 18:05</t>
  </si>
  <si>
    <r>
      <rPr>
        <b/>
        <sz val="12"/>
        <color theme="1"/>
        <rFont val="Arial"/>
        <family val="2"/>
      </rPr>
      <t xml:space="preserve">Instance ID: </t>
    </r>
    <r>
      <rPr>
        <sz val="12"/>
        <color theme="1"/>
        <rFont val="Arial"/>
        <family val="2"/>
      </rPr>
      <t xml:space="preserve">i-0d5d7457c158e5720 </t>
    </r>
    <r>
      <rPr>
        <i/>
        <sz val="12"/>
        <color theme="1"/>
        <rFont val="Arial"/>
        <family val="2"/>
      </rPr>
      <t>(LondonElects pentest Drupal)</t>
    </r>
  </si>
  <si>
    <r>
      <rPr>
        <b/>
        <sz val="12"/>
        <color theme="1"/>
        <rFont val="Arial"/>
        <family val="2"/>
      </rPr>
      <t xml:space="preserve">Instance ID: </t>
    </r>
    <r>
      <rPr>
        <sz val="12"/>
        <color theme="1"/>
        <rFont val="Arial"/>
        <family val="2"/>
      </rPr>
      <t>i-0a4c36be560cf8eed</t>
    </r>
    <r>
      <rPr>
        <i/>
        <sz val="12"/>
        <color theme="1"/>
        <rFont val="Arial"/>
        <family val="2"/>
      </rPr>
      <t xml:space="preserve"> (LondonElects pentest Drupal)</t>
    </r>
  </si>
  <si>
    <t>Trace from 18:30</t>
  </si>
  <si>
    <r>
      <t xml:space="preserve">Drupal CPU </t>
    </r>
    <r>
      <rPr>
        <b/>
        <sz val="12"/>
        <color rgb="FF00B050"/>
        <rFont val="Arial"/>
        <family val="2"/>
      </rPr>
      <t>40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00B050"/>
        <rFont val="Arial"/>
        <family val="2"/>
      </rPr>
      <t>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10</t>
    </r>
    <r>
      <rPr>
        <b/>
        <sz val="12"/>
        <color theme="1"/>
        <rFont val="Arial"/>
        <family val="2"/>
      </rPr>
      <t xml:space="preserve"> hits/sec</t>
    </r>
  </si>
  <si>
    <r>
      <t xml:space="preserve">Drupal CPU </t>
    </r>
    <r>
      <rPr>
        <b/>
        <sz val="12"/>
        <color rgb="FFFF0000"/>
        <rFont val="Arial"/>
        <family val="2"/>
      </rPr>
      <t>90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00B050"/>
        <rFont val="Arial"/>
        <family val="2"/>
      </rPr>
      <t>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FF0000"/>
        <rFont val="Arial"/>
        <family val="2"/>
      </rPr>
      <t>20</t>
    </r>
    <r>
      <rPr>
        <b/>
        <sz val="12"/>
        <color theme="1"/>
        <rFont val="Arial"/>
        <family val="2"/>
      </rPr>
      <t xml:space="preserve"> hits/sec</t>
    </r>
  </si>
  <si>
    <r>
      <rPr>
        <b/>
        <sz val="12"/>
        <color theme="1"/>
        <rFont val="Arial"/>
        <family val="2"/>
      </rPr>
      <t xml:space="preserve">Instance ID: </t>
    </r>
    <r>
      <rPr>
        <sz val="12"/>
        <color theme="1"/>
        <rFont val="Arial"/>
        <family val="2"/>
      </rPr>
      <t>i-0c3fd6335efbe0eb3</t>
    </r>
    <r>
      <rPr>
        <i/>
        <sz val="12"/>
        <color theme="1"/>
        <rFont val="Arial"/>
        <family val="2"/>
      </rPr>
      <t xml:space="preserve"> (LondonElects pentest Drupal)</t>
    </r>
  </si>
  <si>
    <t>Zero CPU after 11:05</t>
  </si>
  <si>
    <t>Trace from 11:30</t>
  </si>
  <si>
    <r>
      <t xml:space="preserve">Drupal CPU </t>
    </r>
    <r>
      <rPr>
        <b/>
        <sz val="12"/>
        <color rgb="FFFF0000"/>
        <rFont val="Arial"/>
        <family val="2"/>
      </rPr>
      <t>90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FF0000"/>
        <rFont val="Arial"/>
        <family val="2"/>
      </rPr>
      <t>80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FF0000"/>
        <rFont val="Arial"/>
        <family val="2"/>
      </rPr>
      <t>20</t>
    </r>
    <r>
      <rPr>
        <b/>
        <sz val="12"/>
        <color theme="1"/>
        <rFont val="Arial"/>
        <family val="2"/>
      </rPr>
      <t xml:space="preserve"> hits/sec</t>
    </r>
  </si>
  <si>
    <t>*</t>
  </si>
  <si>
    <r>
      <t>Drupal CPU</t>
    </r>
    <r>
      <rPr>
        <b/>
        <sz val="12"/>
        <color rgb="FF00B050"/>
        <rFont val="Arial"/>
        <family val="2"/>
      </rPr>
      <t xml:space="preserve"> 15</t>
    </r>
    <r>
      <rPr>
        <b/>
        <sz val="12"/>
        <rFont val="Arial"/>
        <family val="2"/>
      </rPr>
      <t xml:space="preserve">%, DB CPU </t>
    </r>
    <r>
      <rPr>
        <b/>
        <sz val="12"/>
        <color rgb="FF00B050"/>
        <rFont val="Arial"/>
        <family val="2"/>
      </rPr>
      <t>10</t>
    </r>
    <r>
      <rPr>
        <b/>
        <sz val="12"/>
        <rFont val="Arial"/>
        <family val="2"/>
      </rPr>
      <t xml:space="preserve">% - Achieved </t>
    </r>
    <r>
      <rPr>
        <b/>
        <sz val="12"/>
        <color rgb="FFFF0000"/>
        <rFont val="Arial"/>
        <family val="2"/>
      </rPr>
      <t>7</t>
    </r>
    <r>
      <rPr>
        <b/>
        <sz val="12"/>
        <rFont val="Arial"/>
        <family val="2"/>
      </rPr>
      <t xml:space="preserve"> hits/sec</t>
    </r>
  </si>
  <si>
    <t>(should just be testing CloudFlare - Headers look fine)</t>
  </si>
  <si>
    <t>PerfTest</t>
  </si>
  <si>
    <t>PenTest</t>
  </si>
  <si>
    <t>Release</t>
  </si>
  <si>
    <t>LondonElects release Drupal</t>
  </si>
  <si>
    <t>db.t4g.medium</t>
  </si>
  <si>
    <r>
      <t xml:space="preserve">(against </t>
    </r>
    <r>
      <rPr>
        <b/>
        <i/>
        <sz val="12"/>
        <color rgb="FFFF0000"/>
        <rFont val="Arial"/>
        <family val="2"/>
      </rPr>
      <t>Release</t>
    </r>
    <r>
      <rPr>
        <i/>
        <sz val="12"/>
        <color theme="1"/>
        <rFont val="Arial"/>
        <family val="2"/>
      </rPr>
      <t xml:space="preserve"> - with CloudFlare HTML Cache)</t>
    </r>
  </si>
  <si>
    <t>ENVIRONMENT</t>
  </si>
  <si>
    <r>
      <rPr>
        <b/>
        <sz val="12"/>
        <color rgb="FFFF0000"/>
        <rFont val="Arial"/>
        <family val="2"/>
      </rPr>
      <t>Smaller Drupal</t>
    </r>
    <r>
      <rPr>
        <i/>
        <sz val="12"/>
        <rFont val="Arial"/>
        <family val="2"/>
      </rPr>
      <t xml:space="preserve"> (t3a.medium)</t>
    </r>
  </si>
  <si>
    <t>Engine version</t>
  </si>
  <si>
    <t>8.0.35</t>
  </si>
  <si>
    <t>Storage</t>
  </si>
  <si>
    <t>Encryption</t>
  </si>
  <si>
    <t>Enabled</t>
  </si>
  <si>
    <t>Storage type</t>
  </si>
  <si>
    <t>General Purpose SSD (gp3)</t>
  </si>
  <si>
    <t>20 GiB</t>
  </si>
  <si>
    <t>Provisioned IOPS</t>
  </si>
  <si>
    <t>3000 IOPS</t>
  </si>
  <si>
    <t>Storage throughput</t>
  </si>
  <si>
    <t>125 MiBps</t>
  </si>
  <si>
    <t>Storage autoscaling</t>
  </si>
  <si>
    <t>Maximum storage threshold</t>
  </si>
  <si>
    <t>40 GiB</t>
  </si>
  <si>
    <t>Performance Insights</t>
  </si>
  <si>
    <t>Availability Zone</t>
  </si>
  <si>
    <t>Availability Zone :</t>
  </si>
  <si>
    <r>
      <t xml:space="preserve">t3a.medium, t3a.large, </t>
    </r>
    <r>
      <rPr>
        <b/>
        <sz val="12"/>
        <color rgb="FFFF0000"/>
        <rFont val="Arial"/>
        <family val="2"/>
      </rPr>
      <t>c6a.xlarge</t>
    </r>
  </si>
  <si>
    <r>
      <rPr>
        <sz val="12"/>
        <color theme="1"/>
        <rFont val="Arial"/>
        <family val="2"/>
      </rPr>
      <t xml:space="preserve">t3a.medium, </t>
    </r>
    <r>
      <rPr>
        <b/>
        <sz val="12"/>
        <color rgb="FFFF0000"/>
        <rFont val="Arial"/>
        <family val="2"/>
      </rPr>
      <t>c6a.xlarge</t>
    </r>
  </si>
  <si>
    <t>Production</t>
  </si>
  <si>
    <t>eu-west-2c</t>
  </si>
  <si>
    <t>eu-west-2b</t>
  </si>
  <si>
    <t xml:space="preserve"> eu-west-2a</t>
  </si>
  <si>
    <t>elects-pentest-mysql-drupal</t>
  </si>
  <si>
    <t>elects-perftest-mysql-drupal</t>
  </si>
  <si>
    <t>elects-release-mysql-drupal</t>
  </si>
  <si>
    <t>LondonElects production Drupal</t>
  </si>
  <si>
    <t>Disabled</t>
  </si>
  <si>
    <t>elects-production-mysql-drupal</t>
  </si>
  <si>
    <t>4 GB</t>
  </si>
  <si>
    <r>
      <t>Drupal CPU</t>
    </r>
    <r>
      <rPr>
        <b/>
        <sz val="12"/>
        <color rgb="FF00B050"/>
        <rFont val="Arial"/>
        <family val="2"/>
      </rPr>
      <t xml:space="preserve"> 6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00B050"/>
        <rFont val="Arial"/>
        <family val="2"/>
      </rPr>
      <t>1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FF0000"/>
        <rFont val="Arial"/>
        <family val="2"/>
      </rPr>
      <t>20</t>
    </r>
    <r>
      <rPr>
        <b/>
        <sz val="12"/>
        <color theme="1"/>
        <rFont val="Arial"/>
        <family val="2"/>
      </rPr>
      <t xml:space="preserve"> hits/sec</t>
    </r>
  </si>
  <si>
    <r>
      <t>Drupal CPU</t>
    </r>
    <r>
      <rPr>
        <b/>
        <sz val="12"/>
        <color rgb="FFFF0000"/>
        <rFont val="Arial"/>
        <family val="2"/>
      </rPr>
      <t xml:space="preserve"> 55</t>
    </r>
    <r>
      <rPr>
        <b/>
        <sz val="12"/>
        <color theme="1"/>
        <rFont val="Arial"/>
        <family val="2"/>
      </rPr>
      <t>%, DB CPU</t>
    </r>
    <r>
      <rPr>
        <b/>
        <sz val="12"/>
        <color rgb="FF00B050"/>
        <rFont val="Arial"/>
        <family val="2"/>
      </rPr>
      <t xml:space="preserve"> 13</t>
    </r>
    <r>
      <rPr>
        <b/>
        <sz val="12"/>
        <color theme="1"/>
        <rFont val="Arial"/>
        <family val="2"/>
      </rPr>
      <t>% - Achieved</t>
    </r>
    <r>
      <rPr>
        <b/>
        <sz val="12"/>
        <color rgb="FFFF0000"/>
        <rFont val="Arial"/>
        <family val="2"/>
      </rPr>
      <t xml:space="preserve"> 40</t>
    </r>
    <r>
      <rPr>
        <b/>
        <sz val="12"/>
        <color theme="1"/>
        <rFont val="Arial"/>
        <family val="2"/>
      </rPr>
      <t xml:space="preserve"> hits/sec</t>
    </r>
  </si>
  <si>
    <r>
      <t xml:space="preserve">eu-west-2c, </t>
    </r>
    <r>
      <rPr>
        <i/>
        <sz val="11"/>
        <color rgb="FFFF0000"/>
        <rFont val="Arial"/>
        <family val="2"/>
      </rPr>
      <t>eu-west-2b</t>
    </r>
  </si>
  <si>
    <t>Instance ID</t>
  </si>
  <si>
    <t>i-0cf6f5a0dfc9773c1</t>
  </si>
  <si>
    <r>
      <t>Drupal CPU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2</t>
    </r>
    <r>
      <rPr>
        <b/>
        <sz val="12"/>
        <color theme="1"/>
        <rFont val="Arial"/>
        <family val="2"/>
      </rPr>
      <t>%, DB CPU</t>
    </r>
    <r>
      <rPr>
        <b/>
        <sz val="12"/>
        <color rgb="FF00B050"/>
        <rFont val="Arial"/>
        <family val="2"/>
      </rPr>
      <t xml:space="preserve"> 2</t>
    </r>
    <r>
      <rPr>
        <b/>
        <sz val="12"/>
        <color theme="1"/>
        <rFont val="Arial"/>
        <family val="2"/>
      </rPr>
      <t>% - Achieved</t>
    </r>
    <r>
      <rPr>
        <b/>
        <sz val="12"/>
        <color rgb="FFFF0000"/>
        <rFont val="Arial"/>
        <family val="2"/>
      </rPr>
      <t xml:space="preserve"> 20</t>
    </r>
    <r>
      <rPr>
        <b/>
        <sz val="12"/>
        <color theme="1"/>
        <rFont val="Arial"/>
        <family val="2"/>
      </rPr>
      <t xml:space="preserve"> hits/sec</t>
    </r>
  </si>
  <si>
    <r>
      <t>Drupal CPU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12</t>
    </r>
    <r>
      <rPr>
        <b/>
        <sz val="12"/>
        <color theme="1"/>
        <rFont val="Arial"/>
        <family val="2"/>
      </rPr>
      <t>%, DB CPU</t>
    </r>
    <r>
      <rPr>
        <b/>
        <sz val="12"/>
        <color rgb="FF00B050"/>
        <rFont val="Arial"/>
        <family val="2"/>
      </rPr>
      <t xml:space="preserve"> 15</t>
    </r>
    <r>
      <rPr>
        <b/>
        <sz val="12"/>
        <color theme="1"/>
        <rFont val="Arial"/>
        <family val="2"/>
      </rPr>
      <t>% - Achieved</t>
    </r>
    <r>
      <rPr>
        <b/>
        <sz val="12"/>
        <color rgb="FFFF0000"/>
        <rFont val="Arial"/>
        <family val="2"/>
      </rPr>
      <t xml:space="preserve"> 40</t>
    </r>
    <r>
      <rPr>
        <b/>
        <sz val="12"/>
        <color theme="1"/>
        <rFont val="Arial"/>
        <family val="2"/>
      </rPr>
      <t xml:space="preserve"> hits/sec</t>
    </r>
  </si>
  <si>
    <r>
      <t>Drupal CPU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36</t>
    </r>
    <r>
      <rPr>
        <b/>
        <sz val="12"/>
        <color theme="1"/>
        <rFont val="Arial"/>
        <family val="2"/>
      </rPr>
      <t>%, DB CPU</t>
    </r>
    <r>
      <rPr>
        <b/>
        <sz val="12"/>
        <color rgb="FF00B050"/>
        <rFont val="Arial"/>
        <family val="2"/>
      </rPr>
      <t xml:space="preserve"> 46</t>
    </r>
    <r>
      <rPr>
        <b/>
        <sz val="12"/>
        <color theme="1"/>
        <rFont val="Arial"/>
        <family val="2"/>
      </rPr>
      <t>% - Achieved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</si>
  <si>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t>No Load observed</t>
  </si>
  <si>
    <t>SOMETHING WRONG - Test not putting any Load on - New list of URLs + 1</t>
  </si>
  <si>
    <t>CHANGED Test to have 5 URLs, each with 20% execution</t>
  </si>
  <si>
    <t>Removed 6th (disabled) Page Load and Removed Assertions from Test</t>
  </si>
  <si>
    <t>NO HTTP Cache - Java Port Bind Errors during soak</t>
  </si>
  <si>
    <t>"Soak Test - ORIGINAL" - 20 hits/sec</t>
  </si>
  <si>
    <t>VURamp4</t>
  </si>
  <si>
    <t>10 hits/sec</t>
  </si>
  <si>
    <t>Very few Errors</t>
  </si>
  <si>
    <t>VUSoak1</t>
  </si>
  <si>
    <t>VUSoak2</t>
  </si>
  <si>
    <t>1VU 10 secs pause</t>
  </si>
  <si>
    <t>1VU 5 secs pause</t>
  </si>
  <si>
    <r>
      <t>Drupal CPU</t>
    </r>
    <r>
      <rPr>
        <b/>
        <sz val="12"/>
        <color rgb="FFFF0000"/>
        <rFont val="Arial"/>
        <family val="2"/>
      </rPr>
      <t xml:space="preserve"> 84</t>
    </r>
    <r>
      <rPr>
        <b/>
        <sz val="12"/>
        <color theme="1"/>
        <rFont val="Arial"/>
        <family val="2"/>
      </rPr>
      <t>%, DB CPU</t>
    </r>
    <r>
      <rPr>
        <b/>
        <sz val="12"/>
        <color rgb="FF00B05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84</t>
    </r>
    <r>
      <rPr>
        <b/>
        <sz val="12"/>
        <color theme="1"/>
        <rFont val="Arial"/>
        <family val="2"/>
      </rPr>
      <t>% - Achieved</t>
    </r>
    <r>
      <rPr>
        <b/>
        <sz val="12"/>
        <color rgb="FFFF0000"/>
        <rFont val="Arial"/>
        <family val="2"/>
      </rPr>
      <t xml:space="preserve"> 20</t>
    </r>
    <r>
      <rPr>
        <b/>
        <sz val="12"/>
        <color theme="1"/>
        <rFont val="Arial"/>
        <family val="2"/>
      </rPr>
      <t xml:space="preserve"> hits/sec</t>
    </r>
  </si>
  <si>
    <t>DisplayStaticPages</t>
  </si>
  <si>
    <t>Maintenance</t>
  </si>
  <si>
    <t>(based on DisplayResultsPages VURamp4)</t>
  </si>
  <si>
    <t>N/A</t>
  </si>
  <si>
    <r>
      <t xml:space="preserve">Nginx CPU % - Achieved </t>
    </r>
    <r>
      <rPr>
        <b/>
        <sz val="12"/>
        <color rgb="FF00B050"/>
        <rFont val="Arial"/>
        <family val="2"/>
      </rPr>
      <t>10</t>
    </r>
    <r>
      <rPr>
        <b/>
        <sz val="12"/>
        <color theme="1"/>
        <rFont val="Arial"/>
        <family val="2"/>
      </rPr>
      <t xml:space="preserve"> hits/sec</t>
    </r>
  </si>
  <si>
    <t>10 hits/sec after 10 mins, hold for 30 mins</t>
  </si>
  <si>
    <r>
      <rPr>
        <b/>
        <sz val="12"/>
        <color theme="1"/>
        <rFont val="Arial"/>
        <family val="2"/>
      </rPr>
      <t>ALL</t>
    </r>
    <r>
      <rPr>
        <sz val="12"/>
        <color theme="1"/>
        <rFont val="Arial"/>
        <family val="2"/>
      </rPr>
      <t xml:space="preserve"> Postcodes </t>
    </r>
    <r>
      <rPr>
        <i/>
        <sz val="12"/>
        <color theme="1"/>
        <rFont val="Arial"/>
        <family val="2"/>
      </rPr>
      <t>(180,000 rather than 5,000)</t>
    </r>
  </si>
  <si>
    <r>
      <t xml:space="preserve">Drupal CPU </t>
    </r>
    <r>
      <rPr>
        <b/>
        <sz val="12"/>
        <color rgb="FFFF0000"/>
        <rFont val="Arial"/>
        <family val="2"/>
      </rPr>
      <t>40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FF0000"/>
        <rFont val="Arial"/>
        <family val="2"/>
      </rPr>
      <t>45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10</t>
    </r>
    <r>
      <rPr>
        <b/>
        <sz val="12"/>
        <color theme="1"/>
        <rFont val="Arial"/>
        <family val="2"/>
      </rPr>
      <t xml:space="preserve"> hits/sec</t>
    </r>
  </si>
  <si>
    <r>
      <t xml:space="preserve">Drupal CPU </t>
    </r>
    <r>
      <rPr>
        <b/>
        <sz val="12"/>
        <color rgb="FFFF0000"/>
        <rFont val="Arial"/>
        <family val="2"/>
      </rPr>
      <t>98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FF0000"/>
        <rFont val="Arial"/>
        <family val="2"/>
      </rPr>
      <t>85</t>
    </r>
    <r>
      <rPr>
        <b/>
        <sz val="12"/>
        <color theme="1"/>
        <rFont val="Arial"/>
        <family val="2"/>
      </rPr>
      <t>% - Achieved</t>
    </r>
    <r>
      <rPr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20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hits/sec</t>
    </r>
  </si>
  <si>
    <t>Auto-scale changed to 60% CPU</t>
  </si>
  <si>
    <t>RDS FreeStorageSpace degrades gradually from 20GB</t>
  </si>
  <si>
    <t>Suddenly bounces back at end of test</t>
  </si>
  <si>
    <r>
      <t xml:space="preserve">58,567 </t>
    </r>
    <r>
      <rPr>
        <b/>
        <sz val="12"/>
        <color theme="1"/>
        <rFont val="Arial"/>
        <family val="2"/>
      </rPr>
      <t>Good</t>
    </r>
    <r>
      <rPr>
        <sz val="12"/>
        <color theme="1"/>
        <rFont val="Arial"/>
        <family val="2"/>
      </rPr>
      <t xml:space="preserve"> Postcodes from test 58</t>
    </r>
  </si>
  <si>
    <r>
      <t xml:space="preserve">Drupal CPU </t>
    </r>
    <r>
      <rPr>
        <b/>
        <sz val="12"/>
        <color rgb="FF00B050"/>
        <rFont val="Arial"/>
        <family val="2"/>
      </rPr>
      <t>60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FF0000"/>
        <rFont val="Arial"/>
        <family val="2"/>
      </rPr>
      <t>96</t>
    </r>
    <r>
      <rPr>
        <b/>
        <sz val="12"/>
        <color theme="1"/>
        <rFont val="Arial"/>
        <family val="2"/>
      </rPr>
      <t>% - Achieved</t>
    </r>
    <r>
      <rPr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30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hits/sec</t>
    </r>
  </si>
  <si>
    <t>DB Instance Type db.m6g.xlarge</t>
  </si>
  <si>
    <r>
      <rPr>
        <b/>
        <sz val="12"/>
        <color theme="1"/>
        <rFont val="Arial"/>
        <family val="2"/>
      </rPr>
      <t>ALL</t>
    </r>
    <r>
      <rPr>
        <sz val="12"/>
        <color theme="1"/>
        <rFont val="Arial"/>
        <family val="2"/>
      </rPr>
      <t xml:space="preserve"> Postcodes - Re-randomised</t>
    </r>
  </si>
  <si>
    <t>To 50 hits/sec over 30 mins</t>
  </si>
  <si>
    <t>To 50 hits/sec over 15 mins</t>
  </si>
  <si>
    <r>
      <t>Auto-scale, DB CPU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</si>
  <si>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r>
      <t>Auto-scale, DB CPU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60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</si>
  <si>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r>
      <t>Auto-scale, DB CPU</t>
    </r>
    <r>
      <rPr>
        <b/>
        <sz val="12"/>
        <color rgb="FF00B050"/>
        <rFont val="Arial"/>
        <family val="2"/>
      </rPr>
      <t xml:space="preserve"> 55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</si>
  <si>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r>
      <t>Auto-scale</t>
    </r>
    <r>
      <rPr>
        <b/>
        <sz val="12"/>
        <color rgb="FFFF0000"/>
        <rFont val="Arial"/>
        <family val="2"/>
      </rPr>
      <t xml:space="preserve"> 75</t>
    </r>
    <r>
      <rPr>
        <b/>
        <sz val="12"/>
        <color theme="1"/>
        <rFont val="Arial"/>
        <family val="2"/>
      </rPr>
      <t>%, DB CPU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70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</si>
  <si>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r>
      <t>Auto-scale</t>
    </r>
    <r>
      <rPr>
        <b/>
        <sz val="12"/>
        <color rgb="FFFF0000"/>
        <rFont val="Arial"/>
        <family val="2"/>
      </rPr>
      <t xml:space="preserve"> 70</t>
    </r>
    <r>
      <rPr>
        <b/>
        <sz val="12"/>
        <color theme="1"/>
        <rFont val="Arial"/>
        <family val="2"/>
      </rPr>
      <t>%, DB CPU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70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</si>
  <si>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r>
      <t>Auto-scale</t>
    </r>
    <r>
      <rPr>
        <b/>
        <sz val="12"/>
        <color rgb="FFFF0000"/>
        <rFont val="Arial"/>
        <family val="2"/>
      </rPr>
      <t xml:space="preserve"> 85</t>
    </r>
    <r>
      <rPr>
        <b/>
        <sz val="12"/>
        <color theme="1"/>
        <rFont val="Arial"/>
        <family val="2"/>
      </rPr>
      <t>%, DB CPU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70</t>
    </r>
    <r>
      <rPr>
        <b/>
        <sz val="12"/>
        <color theme="1"/>
        <rFont val="Arial"/>
        <family val="2"/>
      </rPr>
      <t xml:space="preserve">% - Achieved </t>
    </r>
    <r>
      <rPr>
        <b/>
        <sz val="12"/>
        <color rgb="FF00B050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hits/sec</t>
    </r>
  </si>
  <si>
    <r>
      <t xml:space="preserve">Same as Test 59 </t>
    </r>
    <r>
      <rPr>
        <i/>
        <sz val="12"/>
        <color theme="1"/>
        <rFont val="Arial"/>
        <family val="2"/>
      </rPr>
      <t>(but looking for Maps)</t>
    </r>
  </si>
  <si>
    <r>
      <t xml:space="preserve">Drupal CPU </t>
    </r>
    <r>
      <rPr>
        <b/>
        <sz val="12"/>
        <color rgb="FF00B050"/>
        <rFont val="Arial"/>
        <family val="2"/>
      </rPr>
      <t>37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00B050"/>
        <rFont val="Arial"/>
        <family val="2"/>
      </rPr>
      <t>10</t>
    </r>
    <r>
      <rPr>
        <b/>
        <sz val="12"/>
        <color theme="1"/>
        <rFont val="Arial"/>
        <family val="2"/>
      </rPr>
      <t>% - Achieved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50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hits/sec</t>
    </r>
  </si>
  <si>
    <r>
      <t xml:space="preserve">Same as Test 59 </t>
    </r>
    <r>
      <rPr>
        <i/>
        <sz val="12"/>
        <color theme="1"/>
        <rFont val="Arial"/>
        <family val="2"/>
      </rPr>
      <t>(but hitting pages with maps)</t>
    </r>
  </si>
  <si>
    <r>
      <t xml:space="preserve">Drupal CPU </t>
    </r>
    <r>
      <rPr>
        <b/>
        <sz val="12"/>
        <color rgb="FF00B050"/>
        <rFont val="Arial"/>
        <family val="2"/>
      </rPr>
      <t>15</t>
    </r>
    <r>
      <rPr>
        <b/>
        <sz val="12"/>
        <color theme="1"/>
        <rFont val="Arial"/>
        <family val="2"/>
      </rPr>
      <t xml:space="preserve">%, DB CPU </t>
    </r>
    <r>
      <rPr>
        <b/>
        <sz val="12"/>
        <color rgb="FF00B050"/>
        <rFont val="Arial"/>
        <family val="2"/>
      </rPr>
      <t>4</t>
    </r>
    <r>
      <rPr>
        <b/>
        <sz val="12"/>
        <color theme="1"/>
        <rFont val="Arial"/>
        <family val="2"/>
      </rPr>
      <t>% - Achieved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50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hits/sec</t>
    </r>
  </si>
  <si>
    <t>Broken Links</t>
  </si>
  <si>
    <r>
      <rPr>
        <b/>
        <sz val="12"/>
        <color theme="7"/>
        <rFont val="Arial"/>
        <family val="2"/>
      </rPr>
      <t>Browse Ramp Borderline initially</t>
    </r>
    <r>
      <rPr>
        <sz val="12"/>
        <color theme="7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- Indicated site would benefit from Varnish - Recommended Implementation - </t>
    </r>
    <r>
      <rPr>
        <b/>
        <sz val="12"/>
        <color rgb="FF00B050"/>
        <rFont val="Arial"/>
        <family val="2"/>
      </rPr>
      <t>Pass</t>
    </r>
    <r>
      <rPr>
        <sz val="12"/>
        <color theme="1"/>
        <rFont val="Arial"/>
        <family val="2"/>
      </rPr>
      <t xml:space="preserve"> following implementation of HTML Cache</t>
    </r>
    <r>
      <rPr>
        <i/>
        <sz val="12"/>
        <color theme="1"/>
        <rFont val="Arial"/>
        <family val="2"/>
      </rPr>
      <t xml:space="preserve"> (in CloudFlare)</t>
    </r>
  </si>
  <si>
    <r>
      <rPr>
        <sz val="12"/>
        <color rgb="FF00B050"/>
        <rFont val="Arial"/>
        <family val="2"/>
      </rPr>
      <t>Polling Station Finder</t>
    </r>
    <r>
      <rPr>
        <sz val="12"/>
        <color theme="1"/>
        <rFont val="Arial"/>
        <family val="2"/>
      </rPr>
      <t xml:space="preserve"> - No issues - Lindsay to disable after polls close</t>
    </r>
  </si>
  <si>
    <r>
      <t>Lindsay to disable after polls close</t>
    </r>
    <r>
      <rPr>
        <sz val="12"/>
        <rFont val="Arial"/>
        <family val="2"/>
      </rPr>
      <t xml:space="preserve"> - </t>
    </r>
    <r>
      <rPr>
        <sz val="12"/>
        <color rgb="FF00B050"/>
        <rFont val="Arial"/>
        <family val="2"/>
      </rPr>
      <t>Brian prepared questions for Supplier</t>
    </r>
    <r>
      <rPr>
        <i/>
        <sz val="12"/>
        <color rgb="FF00B050"/>
        <rFont val="Arial"/>
        <family val="2"/>
      </rPr>
      <t xml:space="preserve"> (not required)</t>
    </r>
    <r>
      <rPr>
        <sz val="12"/>
        <rFont val="Arial"/>
        <family val="2"/>
      </rPr>
      <t xml:space="preserve"> - </t>
    </r>
    <r>
      <rPr>
        <sz val="12"/>
        <color rgb="FF00B050"/>
        <rFont val="Arial"/>
        <family val="2"/>
      </rPr>
      <t>Matt alerted to look at the code</t>
    </r>
    <r>
      <rPr>
        <i/>
        <sz val="12"/>
        <color rgb="FF00B050"/>
        <rFont val="Arial"/>
        <family val="2"/>
      </rPr>
      <t xml:space="preserve"> (not required)</t>
    </r>
    <r>
      <rPr>
        <sz val="12"/>
        <rFont val="Arial"/>
        <family val="2"/>
      </rPr>
      <t xml:space="preserve"> - </t>
    </r>
    <r>
      <rPr>
        <sz val="12"/>
        <color rgb="FFFF0000"/>
        <rFont val="Arial"/>
        <family val="2"/>
      </rPr>
      <t xml:space="preserve">Rate Limit </t>
    </r>
    <r>
      <rPr>
        <i/>
        <sz val="12"/>
        <color rgb="FFFF0000"/>
        <rFont val="Arial"/>
        <family val="2"/>
      </rPr>
      <t>(in CloudFlare)</t>
    </r>
    <r>
      <rPr>
        <sz val="12"/>
        <color rgb="FFFF0000"/>
        <rFont val="Arial"/>
        <family val="2"/>
      </rPr>
      <t xml:space="preserve"> ?</t>
    </r>
  </si>
  <si>
    <t>Editing Results Pages whilst they are under Load</t>
  </si>
  <si>
    <r>
      <t>Matt recommended upgrading CloudFlare version</t>
    </r>
    <r>
      <rPr>
        <i/>
        <sz val="12"/>
        <color theme="1"/>
        <rFont val="Arial"/>
        <family val="2"/>
      </rPr>
      <t xml:space="preserve"> (from Free to Business)</t>
    </r>
    <r>
      <rPr>
        <sz val="12"/>
        <color theme="1"/>
        <rFont val="Arial"/>
        <family val="2"/>
      </rPr>
      <t xml:space="preserve"> during election period again -</t>
    </r>
    <r>
      <rPr>
        <sz val="12"/>
        <color rgb="FF00B050"/>
        <rFont val="Arial"/>
        <family val="2"/>
      </rPr>
      <t xml:space="preserve"> Implemented</t>
    </r>
  </si>
  <si>
    <t>Pre-mortem root-cause analysis</t>
  </si>
  <si>
    <t>JMeter test did not work properly</t>
  </si>
  <si>
    <t>Tested with postcodes from all Boroughs - And just results pages with maps on</t>
  </si>
  <si>
    <t>SHOWED AN IMPROVEMENT AFTER 'VARNISH'</t>
  </si>
  <si>
    <t>SHOWED AN IMPROVEMENT AFTER 'VARNISH' (search terms used are limited in number)</t>
  </si>
  <si>
    <r>
      <t xml:space="preserve">CONFIRMED - </t>
    </r>
    <r>
      <rPr>
        <b/>
        <i/>
        <sz val="12"/>
        <color rgb="FF00B050"/>
        <rFont val="Arial"/>
        <family val="2"/>
      </rPr>
      <t>NOT</t>
    </r>
    <r>
      <rPr>
        <i/>
        <sz val="12"/>
        <color rgb="FF00B050"/>
        <rFont val="Arial"/>
        <family val="2"/>
      </rPr>
      <t xml:space="preserve"> IMPROVED BY HTML CACHE</t>
    </r>
  </si>
  <si>
    <r>
      <t>CONFIRMED -</t>
    </r>
    <r>
      <rPr>
        <b/>
        <i/>
        <sz val="12"/>
        <color rgb="FF00B050"/>
        <rFont val="Arial"/>
        <family val="2"/>
      </rPr>
      <t xml:space="preserve"> NOT </t>
    </r>
    <r>
      <rPr>
        <i/>
        <sz val="12"/>
        <color rgb="FF00B050"/>
        <rFont val="Arial"/>
        <family val="2"/>
      </rPr>
      <t>IMPROVED BY HTML CACHE</t>
    </r>
  </si>
  <si>
    <r>
      <t>Could we clear the CloudFlare</t>
    </r>
    <r>
      <rPr>
        <i/>
        <sz val="12"/>
        <color rgb="FFFF0000"/>
        <rFont val="Arial"/>
        <family val="2"/>
      </rPr>
      <t xml:space="preserve"> (and Drupal)</t>
    </r>
    <r>
      <rPr>
        <sz val="12"/>
        <color rgb="FFFF0000"/>
        <rFont val="Arial"/>
        <family val="2"/>
      </rPr>
      <t xml:space="preserve"> caches during a test ?</t>
    </r>
    <r>
      <rPr>
        <i/>
        <sz val="12"/>
        <color rgb="FFFF0000"/>
        <rFont val="Arial"/>
        <family val="2"/>
      </rPr>
      <t xml:space="preserve"> (worst case)</t>
    </r>
  </si>
  <si>
    <t>Tests run following Deployment - so effectively with Cold Caches</t>
  </si>
  <si>
    <t>Drupal InstanceType c6a.xlarge</t>
  </si>
  <si>
    <r>
      <t xml:space="preserve">Much fewer Postcodes Not Found now </t>
    </r>
    <r>
      <rPr>
        <i/>
        <sz val="12"/>
        <color rgb="FFFF0000"/>
        <rFont val="Arial"/>
        <family val="2"/>
      </rPr>
      <t>(~20%)</t>
    </r>
  </si>
  <si>
    <t>Java Port Bind Errors during soak</t>
  </si>
  <si>
    <t>Clear Drupal Cache x times during</t>
  </si>
  <si>
    <r>
      <rPr>
        <sz val="12"/>
        <color rgb="FF00B050"/>
        <rFont val="Arial"/>
        <family val="2"/>
      </rPr>
      <t>404s</t>
    </r>
    <r>
      <rPr>
        <sz val="12"/>
        <rFont val="Arial"/>
        <family val="2"/>
      </rPr>
      <t xml:space="preserve"> - </t>
    </r>
    <r>
      <rPr>
        <i/>
        <sz val="12"/>
        <rFont val="Arial"/>
        <family val="2"/>
      </rPr>
      <t>Auto-scales at 25 hits/sec</t>
    </r>
  </si>
  <si>
    <r>
      <rPr>
        <sz val="12"/>
        <color rgb="FF00B050"/>
        <rFont val="Arial"/>
        <family val="2"/>
      </rPr>
      <t xml:space="preserve">CacheBreaker </t>
    </r>
    <r>
      <rPr>
        <sz val="12"/>
        <rFont val="Arial"/>
        <family val="2"/>
      </rPr>
      <t xml:space="preserve">- </t>
    </r>
    <r>
      <rPr>
        <i/>
        <sz val="12"/>
        <rFont val="Arial"/>
        <family val="2"/>
      </rPr>
      <t>Autoscales at 20 hits/sec</t>
    </r>
  </si>
  <si>
    <r>
      <t>About +</t>
    </r>
    <r>
      <rPr>
        <b/>
        <sz val="12"/>
        <color rgb="FF00B050"/>
        <rFont val="Arial"/>
        <family val="2"/>
      </rPr>
      <t>2</t>
    </r>
    <r>
      <rPr>
        <b/>
        <sz val="12"/>
        <color theme="1"/>
        <rFont val="Arial"/>
        <family val="2"/>
      </rPr>
      <t>% load seen on DB CPU</t>
    </r>
    <r>
      <rPr>
        <i/>
        <sz val="12"/>
        <color theme="1"/>
        <rFont val="Arial"/>
        <family val="2"/>
      </rPr>
      <t xml:space="preserve"> (for each cache clear)</t>
    </r>
  </si>
  <si>
    <t>Dry run testing</t>
  </si>
  <si>
    <t>YouTubeEmbed</t>
  </si>
  <si>
    <t>Every 5 secs for 5 mins</t>
  </si>
  <si>
    <t>To 20 hits/sec over 30 mins</t>
  </si>
  <si>
    <t>Same as VURamp1, but no external elements</t>
  </si>
  <si>
    <t>5a6Ihi%LLfkD&amp;d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</si>
</sst>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B050"/>
      <name val="Arial"/>
      <family val="2"/>
    </font>
    <font>
      <b/>
      <sz val="12"/>
      <color rgb="FFFFC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0" tint="-0.499984740745262"/>
      <name val="Arial"/>
      <family val="2"/>
    </font>
    <font>
      <i/>
      <sz val="12"/>
      <color theme="1"/>
      <name val="Arial"/>
      <family val="2"/>
    </font>
    <font>
      <sz val="12"/>
      <color theme="0" tint="-0.34998626667073579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rgb="FF16191F"/>
      <name val="Arial"/>
      <family val="2"/>
    </font>
    <font>
      <b/>
      <sz val="12"/>
      <color theme="7"/>
      <name val="Arial"/>
      <family val="2"/>
    </font>
    <font>
      <sz val="12"/>
      <color rgb="FFFF0000"/>
      <name val="Arial"/>
      <family val="2"/>
    </font>
    <font>
      <sz val="12"/>
      <color theme="7"/>
      <name val="Arial"/>
      <family val="2"/>
    </font>
    <font>
      <i/>
      <sz val="12"/>
      <name val="Arial"/>
      <family val="2"/>
    </font>
    <font>
      <i/>
      <sz val="12"/>
      <color rgb="FFFF0000"/>
      <name val="Arial"/>
      <family val="2"/>
    </font>
    <font>
      <b/>
      <sz val="12"/>
      <color rgb="FF00B050"/>
      <name val="Arial"/>
      <family val="2"/>
    </font>
    <font>
      <b/>
      <i/>
      <sz val="12"/>
      <color rgb="FFFF0000"/>
      <name val="Arial"/>
      <family val="2"/>
    </font>
    <font>
      <b/>
      <sz val="12"/>
      <color theme="1"/>
      <name val="Courier New"/>
      <family val="3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16191F"/>
      <name val="Roboto"/>
    </font>
    <font>
      <b/>
      <sz val="12"/>
      <color rgb="FF16191F"/>
      <name val="Arial"/>
      <family val="2"/>
    </font>
    <font>
      <i/>
      <sz val="11"/>
      <color rgb="FFFF0000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rgb="FF7030A0"/>
      <name val="Arial"/>
      <family val="2"/>
    </font>
    <font>
      <i/>
      <sz val="12"/>
      <color rgb="FF00B050"/>
      <name val="Arial"/>
      <family val="2"/>
    </font>
    <font>
      <b/>
      <i/>
      <sz val="12"/>
      <name val="Arial"/>
      <family val="2"/>
    </font>
    <font>
      <sz val="12"/>
      <color rgb="FF7030A0"/>
      <name val="Arial"/>
      <family val="2"/>
    </font>
    <font>
      <b/>
      <i/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4" fontId="1" fillId="0" borderId="0" xfId="0" applyNumberFormat="1" applyFont="1" applyAlignment="1">
      <alignment horizontal="right"/>
    </xf>
    <xf numFmtId="21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21" fontId="1" fillId="2" borderId="0" xfId="0" applyNumberFormat="1" applyFont="1" applyFill="1" applyAlignment="1">
      <alignment horizontal="right"/>
    </xf>
    <xf numFmtId="21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0" fillId="0" borderId="1" xfId="0" applyFont="1" applyBorder="1"/>
    <xf numFmtId="0" fontId="11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21" fontId="11" fillId="0" borderId="0" xfId="0" applyNumberFormat="1" applyFont="1" applyAlignment="1">
      <alignment horizontal="right"/>
    </xf>
    <xf numFmtId="21" fontId="11" fillId="2" borderId="0" xfId="0" applyNumberFormat="1" applyFont="1" applyFill="1" applyAlignment="1">
      <alignment horizontal="right"/>
    </xf>
    <xf numFmtId="21" fontId="11" fillId="0" borderId="0" xfId="0" applyNumberFormat="1" applyFont="1"/>
    <xf numFmtId="21" fontId="11" fillId="2" borderId="0" xfId="0" applyNumberFormat="1" applyFont="1" applyFill="1"/>
    <xf numFmtId="0" fontId="7" fillId="0" borderId="1" xfId="0" applyFont="1" applyBorder="1" applyAlignment="1">
      <alignment horizontal="center"/>
    </xf>
    <xf numFmtId="0" fontId="13" fillId="0" borderId="0" xfId="1" applyFont="1"/>
    <xf numFmtId="21" fontId="1" fillId="0" borderId="1" xfId="0" applyNumberFormat="1" applyFont="1" applyBorder="1" applyAlignment="1">
      <alignment horizontal="right"/>
    </xf>
    <xf numFmtId="21" fontId="1" fillId="2" borderId="1" xfId="0" applyNumberFormat="1" applyFont="1" applyFill="1" applyBorder="1"/>
    <xf numFmtId="21" fontId="1" fillId="0" borderId="1" xfId="0" applyNumberFormat="1" applyFont="1" applyBorder="1"/>
    <xf numFmtId="0" fontId="15" fillId="0" borderId="1" xfId="0" applyFont="1" applyBorder="1"/>
    <xf numFmtId="21" fontId="1" fillId="2" borderId="0" xfId="0" applyNumberFormat="1" applyFont="1" applyFill="1"/>
    <xf numFmtId="0" fontId="4" fillId="0" borderId="1" xfId="0" applyFont="1" applyBorder="1"/>
    <xf numFmtId="0" fontId="16" fillId="0" borderId="0" xfId="0" applyFont="1" applyAlignment="1">
      <alignment horizontal="center"/>
    </xf>
    <xf numFmtId="0" fontId="2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2" fillId="0" borderId="5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6" xfId="0" applyFont="1" applyBorder="1"/>
    <xf numFmtId="0" fontId="5" fillId="0" borderId="5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9" xfId="0" applyFont="1" applyBorder="1"/>
    <xf numFmtId="0" fontId="16" fillId="0" borderId="1" xfId="0" applyFont="1" applyBorder="1" applyAlignment="1">
      <alignment horizontal="center"/>
    </xf>
    <xf numFmtId="0" fontId="1" fillId="0" borderId="0" xfId="0" applyFont="1" applyFill="1"/>
    <xf numFmtId="0" fontId="16" fillId="0" borderId="0" xfId="0" applyFont="1"/>
    <xf numFmtId="0" fontId="15" fillId="0" borderId="0" xfId="0" applyFont="1" applyBorder="1"/>
    <xf numFmtId="0" fontId="7" fillId="0" borderId="0" xfId="0" applyFont="1" applyFill="1"/>
    <xf numFmtId="46" fontId="2" fillId="2" borderId="10" xfId="0" applyNumberFormat="1" applyFont="1" applyFill="1" applyBorder="1"/>
    <xf numFmtId="0" fontId="5" fillId="0" borderId="1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7" xfId="0" applyFont="1" applyBorder="1"/>
    <xf numFmtId="0" fontId="2" fillId="0" borderId="0" xfId="0" applyFont="1" applyBorder="1"/>
    <xf numFmtId="0" fontId="8" fillId="0" borderId="0" xfId="0" applyFont="1" applyBorder="1"/>
    <xf numFmtId="14" fontId="1" fillId="0" borderId="0" xfId="0" applyNumberFormat="1" applyFont="1" applyBorder="1" applyAlignment="1">
      <alignment horizontal="right"/>
    </xf>
    <xf numFmtId="0" fontId="2" fillId="0" borderId="1" xfId="0" applyFont="1" applyBorder="1"/>
    <xf numFmtId="0" fontId="11" fillId="0" borderId="0" xfId="0" applyFont="1" applyBorder="1" applyAlignment="1">
      <alignment horizontal="center"/>
    </xf>
    <xf numFmtId="0" fontId="11" fillId="0" borderId="0" xfId="0" applyFont="1" applyBorder="1"/>
    <xf numFmtId="14" fontId="11" fillId="0" borderId="0" xfId="0" applyNumberFormat="1" applyFont="1" applyBorder="1" applyAlignment="1">
      <alignment horizontal="right"/>
    </xf>
    <xf numFmtId="21" fontId="11" fillId="0" borderId="0" xfId="0" applyNumberFormat="1" applyFont="1" applyBorder="1" applyAlignment="1">
      <alignment horizontal="right"/>
    </xf>
    <xf numFmtId="21" fontId="11" fillId="2" borderId="0" xfId="0" applyNumberFormat="1" applyFont="1" applyFill="1" applyBorder="1"/>
    <xf numFmtId="21" fontId="11" fillId="0" borderId="0" xfId="0" applyNumberFormat="1" applyFont="1" applyBorder="1"/>
    <xf numFmtId="21" fontId="2" fillId="2" borderId="0" xfId="0" applyNumberFormat="1" applyFont="1" applyFill="1"/>
    <xf numFmtId="0" fontId="7" fillId="0" borderId="5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1" fillId="0" borderId="0" xfId="0" applyFont="1"/>
    <xf numFmtId="21" fontId="2" fillId="2" borderId="1" xfId="0" applyNumberFormat="1" applyFont="1" applyFill="1" applyBorder="1"/>
    <xf numFmtId="21" fontId="1" fillId="0" borderId="0" xfId="0" applyNumberFormat="1" applyFont="1" applyBorder="1" applyAlignment="1">
      <alignment horizontal="right"/>
    </xf>
    <xf numFmtId="21" fontId="2" fillId="2" borderId="0" xfId="0" applyNumberFormat="1" applyFont="1" applyFill="1" applyBorder="1"/>
    <xf numFmtId="21" fontId="1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10" fillId="0" borderId="0" xfId="0" applyFont="1" applyBorder="1"/>
    <xf numFmtId="0" fontId="4" fillId="0" borderId="0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1" fillId="0" borderId="6" xfId="0" applyFont="1" applyBorder="1" applyAlignment="1">
      <alignment horizontal="left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 applyAlignment="1">
      <alignment wrapText="1"/>
    </xf>
    <xf numFmtId="0" fontId="22" fillId="0" borderId="0" xfId="0" applyFont="1" applyBorder="1" applyAlignment="1">
      <alignment vertical="top"/>
    </xf>
    <xf numFmtId="0" fontId="1" fillId="0" borderId="0" xfId="0" applyFont="1" applyBorder="1" applyAlignment="1">
      <alignment horizontal="left"/>
    </xf>
    <xf numFmtId="0" fontId="0" fillId="0" borderId="5" xfId="0" applyBorder="1"/>
    <xf numFmtId="0" fontId="2" fillId="0" borderId="6" xfId="0" applyFont="1" applyBorder="1" applyAlignment="1">
      <alignment vertical="top"/>
    </xf>
    <xf numFmtId="0" fontId="10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7" fillId="0" borderId="1" xfId="0" applyFont="1" applyBorder="1"/>
    <xf numFmtId="0" fontId="5" fillId="0" borderId="0" xfId="0" applyFont="1" applyBorder="1"/>
    <xf numFmtId="0" fontId="25" fillId="0" borderId="0" xfId="0" applyFont="1" applyBorder="1"/>
    <xf numFmtId="0" fontId="26" fillId="0" borderId="5" xfId="0" applyFont="1" applyBorder="1" applyAlignment="1">
      <alignment horizontal="left"/>
    </xf>
    <xf numFmtId="0" fontId="26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6" xfId="0" applyFont="1" applyBorder="1" applyAlignment="1">
      <alignment horizontal="left"/>
    </xf>
    <xf numFmtId="0" fontId="1" fillId="0" borderId="6" xfId="0" applyFont="1" applyFill="1" applyBorder="1"/>
    <xf numFmtId="0" fontId="1" fillId="0" borderId="9" xfId="0" applyFont="1" applyFill="1" applyBorder="1"/>
    <xf numFmtId="0" fontId="23" fillId="0" borderId="6" xfId="0" applyFont="1" applyBorder="1"/>
    <xf numFmtId="0" fontId="10" fillId="0" borderId="6" xfId="0" applyFont="1" applyBorder="1" applyAlignment="1">
      <alignment vertical="top"/>
    </xf>
    <xf numFmtId="0" fontId="24" fillId="0" borderId="6" xfId="0" applyFont="1" applyBorder="1"/>
    <xf numFmtId="0" fontId="24" fillId="0" borderId="6" xfId="0" applyFont="1" applyBorder="1" applyAlignment="1">
      <alignment vertical="top"/>
    </xf>
    <xf numFmtId="0" fontId="19" fillId="0" borderId="1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7" fillId="0" borderId="0" xfId="0" applyFont="1" applyBorder="1"/>
    <xf numFmtId="21" fontId="28" fillId="2" borderId="0" xfId="0" applyNumberFormat="1" applyFont="1" applyFill="1" applyBorder="1"/>
    <xf numFmtId="0" fontId="28" fillId="0" borderId="0" xfId="0" applyFont="1" applyBorder="1"/>
    <xf numFmtId="21" fontId="28" fillId="2" borderId="0" xfId="0" applyNumberFormat="1" applyFont="1" applyFill="1"/>
    <xf numFmtId="14" fontId="7" fillId="0" borderId="0" xfId="0" applyNumberFormat="1" applyFont="1" applyBorder="1" applyAlignment="1">
      <alignment horizontal="right"/>
    </xf>
    <xf numFmtId="21" fontId="7" fillId="0" borderId="0" xfId="0" applyNumberFormat="1" applyFont="1" applyAlignment="1">
      <alignment horizontal="right"/>
    </xf>
    <xf numFmtId="21" fontId="8" fillId="2" borderId="0" xfId="0" applyNumberFormat="1" applyFont="1" applyFill="1"/>
    <xf numFmtId="21" fontId="7" fillId="0" borderId="0" xfId="0" applyNumberFormat="1" applyFont="1"/>
    <xf numFmtId="0" fontId="29" fillId="0" borderId="0" xfId="0" applyFont="1"/>
    <xf numFmtId="0" fontId="29" fillId="0" borderId="0" xfId="0" applyFont="1" applyBorder="1"/>
    <xf numFmtId="0" fontId="30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0" fillId="0" borderId="0" xfId="0" applyFont="1" applyBorder="1" applyAlignment="1">
      <alignment horizontal="left"/>
    </xf>
    <xf numFmtId="14" fontId="18" fillId="0" borderId="0" xfId="0" applyNumberFormat="1" applyFont="1" applyBorder="1" applyAlignment="1">
      <alignment horizontal="right"/>
    </xf>
    <xf numFmtId="21" fontId="18" fillId="0" borderId="0" xfId="0" applyNumberFormat="1" applyFont="1" applyAlignment="1">
      <alignment horizontal="right"/>
    </xf>
    <xf numFmtId="21" fontId="31" fillId="2" borderId="0" xfId="0" applyNumberFormat="1" applyFont="1" applyFill="1"/>
    <xf numFmtId="21" fontId="18" fillId="0" borderId="0" xfId="0" applyNumberFormat="1" applyFont="1"/>
    <xf numFmtId="21" fontId="1" fillId="2" borderId="0" xfId="0" applyNumberFormat="1" applyFont="1" applyFill="1" applyBorder="1"/>
    <xf numFmtId="0" fontId="32" fillId="0" borderId="0" xfId="0" applyFont="1"/>
    <xf numFmtId="0" fontId="32" fillId="0" borderId="0" xfId="0" applyFont="1" applyBorder="1"/>
    <xf numFmtId="0" fontId="32" fillId="0" borderId="0" xfId="0" applyFont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14" fontId="7" fillId="0" borderId="1" xfId="0" applyNumberFormat="1" applyFont="1" applyBorder="1" applyAlignment="1">
      <alignment horizontal="right"/>
    </xf>
    <xf numFmtId="21" fontId="7" fillId="0" borderId="1" xfId="0" applyNumberFormat="1" applyFont="1" applyBorder="1" applyAlignment="1">
      <alignment horizontal="right"/>
    </xf>
    <xf numFmtId="21" fontId="8" fillId="2" borderId="1" xfId="0" applyNumberFormat="1" applyFont="1" applyFill="1" applyBorder="1"/>
    <xf numFmtId="21" fontId="7" fillId="0" borderId="1" xfId="0" applyNumberFormat="1" applyFont="1" applyBorder="1"/>
    <xf numFmtId="0" fontId="18" fillId="0" borderId="0" xfId="0" applyFont="1" applyBorder="1"/>
    <xf numFmtId="0" fontId="2" fillId="0" borderId="0" xfId="0" applyFont="1" applyBorder="1" applyAlignment="1">
      <alignment horizontal="left"/>
    </xf>
    <xf numFmtId="0" fontId="12" fillId="0" borderId="0" xfId="1"/>
    <xf numFmtId="0" fontId="20" fillId="0" borderId="1" xfId="0" applyFont="1" applyBorder="1"/>
    <xf numFmtId="0" fontId="16" fillId="0" borderId="0" xfId="0" applyFont="1" applyBorder="1"/>
    <xf numFmtId="0" fontId="16" fillId="0" borderId="0" xfId="0" applyFont="1" applyBorder="1" applyAlignment="1"/>
    <xf numFmtId="0" fontId="1" fillId="0" borderId="2" xfId="0" applyFont="1" applyFill="1" applyBorder="1"/>
    <xf numFmtId="0" fontId="7" fillId="0" borderId="3" xfId="0" applyFont="1" applyBorder="1"/>
    <xf numFmtId="0" fontId="7" fillId="0" borderId="4" xfId="0" applyFont="1" applyBorder="1"/>
    <xf numFmtId="0" fontId="7" fillId="0" borderId="6" xfId="0" applyFont="1" applyBorder="1"/>
    <xf numFmtId="0" fontId="1" fillId="0" borderId="5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30" fillId="0" borderId="0" xfId="0" applyFont="1"/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4" fillId="0" borderId="0" xfId="0" applyFont="1"/>
    <xf numFmtId="0" fontId="20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160373243799.signin.aws.amazon.com/console/" TargetMode="External"/><Relationship Id="rId1" Type="http://schemas.openxmlformats.org/officeDocument/2006/relationships/hyperlink" Target="https://160373243799.signin.aws.amazon.com/cons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8"/>
  <sheetViews>
    <sheetView tabSelected="1" topLeftCell="A63" workbookViewId="0">
      <selection activeCell="A74" sqref="A74"/>
    </sheetView>
  </sheetViews>
  <sheetFormatPr defaultColWidth="9.140625" defaultRowHeight="15" x14ac:dyDescent="0.2"/>
  <cols>
    <col min="1" max="1" width="9.7109375" style="12" bestFit="1" customWidth="1"/>
    <col min="2" max="2" width="24.85546875" style="1" customWidth="1"/>
    <col min="3" max="3" width="15.28515625" style="1" bestFit="1" customWidth="1"/>
    <col min="4" max="4" width="6.42578125" style="12" bestFit="1" customWidth="1"/>
    <col min="5" max="5" width="18.7109375" style="12" bestFit="1" customWidth="1"/>
    <col min="6" max="6" width="12.7109375" style="4" customWidth="1"/>
    <col min="7" max="7" width="15.140625" style="4" customWidth="1"/>
    <col min="8" max="8" width="12.28515625" style="4" customWidth="1"/>
    <col min="9" max="9" width="10.85546875" style="1" customWidth="1"/>
    <col min="10" max="10" width="10.42578125" style="1" customWidth="1"/>
    <col min="11" max="11" width="19.85546875" style="1" customWidth="1"/>
    <col min="12" max="12" width="17" style="1" customWidth="1"/>
    <col min="13" max="13" width="11.7109375" style="16" customWidth="1"/>
    <col min="14" max="14" width="13.85546875" style="16" bestFit="1" customWidth="1"/>
    <col min="15" max="15" width="19.85546875" style="16" bestFit="1" customWidth="1"/>
    <col min="16" max="16" width="9.140625" style="1" customWidth="1"/>
    <col min="17" max="17" width="16.85546875" style="1" bestFit="1" customWidth="1"/>
    <col min="18" max="18" width="52.140625" style="1" customWidth="1"/>
    <col min="19" max="19" width="9.140625" style="1"/>
    <col min="20" max="20" width="10.28515625" style="1" customWidth="1"/>
    <col min="21" max="16384" width="9.140625" style="1"/>
  </cols>
  <sheetData>
    <row r="1" spans="1:29" ht="15.75" x14ac:dyDescent="0.25">
      <c r="A1" s="11" t="s">
        <v>13</v>
      </c>
      <c r="B1" s="2" t="s">
        <v>6</v>
      </c>
      <c r="C1" s="2" t="s">
        <v>7</v>
      </c>
      <c r="D1" s="11" t="s">
        <v>12</v>
      </c>
      <c r="E1" s="105" t="s">
        <v>120</v>
      </c>
      <c r="F1" s="3" t="s">
        <v>8</v>
      </c>
      <c r="G1" s="3" t="s">
        <v>9</v>
      </c>
      <c r="H1" s="3" t="s">
        <v>10</v>
      </c>
      <c r="I1" s="8" t="s">
        <v>11</v>
      </c>
      <c r="K1" s="2" t="s">
        <v>14</v>
      </c>
      <c r="L1" s="2" t="s">
        <v>15</v>
      </c>
      <c r="M1" s="17" t="s">
        <v>22</v>
      </c>
      <c r="N1" s="17" t="s">
        <v>36</v>
      </c>
      <c r="O1" s="17" t="s">
        <v>37</v>
      </c>
      <c r="Q1" s="2" t="s">
        <v>16</v>
      </c>
      <c r="R1" s="2" t="s">
        <v>21</v>
      </c>
      <c r="S1" s="13" t="s">
        <v>53</v>
      </c>
    </row>
    <row r="2" spans="1:29" ht="15.75" x14ac:dyDescent="0.25">
      <c r="A2" s="12">
        <v>1</v>
      </c>
      <c r="B2" s="1" t="s">
        <v>0</v>
      </c>
      <c r="C2" s="1" t="s">
        <v>4</v>
      </c>
      <c r="D2" s="12">
        <v>1</v>
      </c>
      <c r="E2" s="106" t="s">
        <v>114</v>
      </c>
      <c r="F2" s="6">
        <v>45353</v>
      </c>
      <c r="G2" s="7">
        <v>0.82347222222222216</v>
      </c>
      <c r="H2" s="7">
        <v>0.859837962962963</v>
      </c>
      <c r="I2" s="9">
        <f t="shared" ref="I2:I10" si="0">H2-G2</f>
        <v>3.6365740740740837E-2</v>
      </c>
      <c r="K2" s="10">
        <v>0.82291666666666663</v>
      </c>
      <c r="L2" s="10">
        <v>0.86458333333333337</v>
      </c>
      <c r="M2" s="18" t="s">
        <v>23</v>
      </c>
      <c r="N2" s="40" t="s">
        <v>34</v>
      </c>
      <c r="O2" s="18" t="s">
        <v>48</v>
      </c>
      <c r="Q2" s="15" t="s">
        <v>18</v>
      </c>
      <c r="R2" s="1" t="s">
        <v>25</v>
      </c>
    </row>
    <row r="3" spans="1:29" x14ac:dyDescent="0.2">
      <c r="A3" s="12">
        <v>2</v>
      </c>
      <c r="B3" s="1" t="s">
        <v>0</v>
      </c>
      <c r="C3" s="1" t="s">
        <v>3</v>
      </c>
      <c r="D3" s="12">
        <v>1</v>
      </c>
      <c r="E3" s="106" t="s">
        <v>114</v>
      </c>
      <c r="F3" s="6">
        <v>45354</v>
      </c>
      <c r="G3" s="7">
        <v>0.53717592592592589</v>
      </c>
      <c r="H3" s="7">
        <v>0.54422453703703699</v>
      </c>
      <c r="I3" s="9">
        <f t="shared" si="0"/>
        <v>7.0486111111111027E-3</v>
      </c>
      <c r="K3" s="10">
        <v>0.53125</v>
      </c>
      <c r="L3" s="10">
        <v>0.55208333333333337</v>
      </c>
      <c r="M3" s="18" t="s">
        <v>23</v>
      </c>
      <c r="N3" s="40" t="s">
        <v>34</v>
      </c>
      <c r="O3" s="18" t="s">
        <v>48</v>
      </c>
      <c r="Q3" s="14" t="s">
        <v>17</v>
      </c>
      <c r="R3" s="1" t="s">
        <v>24</v>
      </c>
    </row>
    <row r="4" spans="1:29" x14ac:dyDescent="0.2">
      <c r="A4" s="12">
        <v>3</v>
      </c>
      <c r="B4" s="1" t="s">
        <v>2</v>
      </c>
      <c r="C4" s="1" t="s">
        <v>3</v>
      </c>
      <c r="D4" s="12">
        <v>1</v>
      </c>
      <c r="E4" s="106" t="s">
        <v>114</v>
      </c>
      <c r="F4" s="6">
        <v>45354</v>
      </c>
      <c r="G4" s="7">
        <v>0.75493055555555555</v>
      </c>
      <c r="H4" s="7">
        <v>0.76201388888888888</v>
      </c>
      <c r="I4" s="9">
        <f t="shared" si="0"/>
        <v>7.0833333333333304E-3</v>
      </c>
      <c r="K4" s="10">
        <v>0.75</v>
      </c>
      <c r="L4" s="10">
        <v>0.77083333333333337</v>
      </c>
      <c r="M4" s="18" t="s">
        <v>23</v>
      </c>
      <c r="N4" s="40" t="s">
        <v>34</v>
      </c>
      <c r="O4" s="18" t="s">
        <v>48</v>
      </c>
      <c r="Q4" s="14" t="s">
        <v>17</v>
      </c>
      <c r="R4" s="1" t="s">
        <v>24</v>
      </c>
    </row>
    <row r="5" spans="1:29" x14ac:dyDescent="0.2">
      <c r="A5" s="12">
        <v>4</v>
      </c>
      <c r="B5" s="1" t="s">
        <v>2</v>
      </c>
      <c r="C5" s="1" t="s">
        <v>4</v>
      </c>
      <c r="D5" s="12">
        <v>1</v>
      </c>
      <c r="E5" s="106" t="s">
        <v>114</v>
      </c>
      <c r="F5" s="6">
        <v>45355</v>
      </c>
      <c r="G5" s="7">
        <v>0.53964120370370372</v>
      </c>
      <c r="H5" s="7">
        <v>0.58505787037037038</v>
      </c>
      <c r="I5" s="9">
        <f t="shared" si="0"/>
        <v>4.5416666666666661E-2</v>
      </c>
      <c r="K5" s="10">
        <v>0.53125</v>
      </c>
      <c r="L5" s="10">
        <v>0.59375</v>
      </c>
      <c r="M5" s="18" t="s">
        <v>23</v>
      </c>
      <c r="N5" s="40" t="s">
        <v>34</v>
      </c>
      <c r="O5" s="18" t="s">
        <v>48</v>
      </c>
      <c r="Q5" s="14" t="s">
        <v>17</v>
      </c>
      <c r="R5" s="1" t="s">
        <v>26</v>
      </c>
      <c r="T5" s="19"/>
    </row>
    <row r="6" spans="1:29" x14ac:dyDescent="0.2">
      <c r="A6" s="12">
        <v>5</v>
      </c>
      <c r="B6" s="1" t="s">
        <v>2</v>
      </c>
      <c r="C6" s="1" t="s">
        <v>5</v>
      </c>
      <c r="D6" s="12">
        <v>1</v>
      </c>
      <c r="E6" s="106" t="s">
        <v>114</v>
      </c>
      <c r="F6" s="6">
        <v>45355</v>
      </c>
      <c r="G6" s="7">
        <v>0.60421296296296301</v>
      </c>
      <c r="H6" s="7">
        <v>0.61664351851851851</v>
      </c>
      <c r="I6" s="9">
        <f t="shared" si="0"/>
        <v>1.24305555555555E-2</v>
      </c>
      <c r="K6" s="10">
        <v>0.60416666666666663</v>
      </c>
      <c r="L6" s="10">
        <v>0.625</v>
      </c>
      <c r="M6" s="18" t="s">
        <v>23</v>
      </c>
      <c r="N6" s="40" t="s">
        <v>34</v>
      </c>
      <c r="O6" s="18" t="s">
        <v>48</v>
      </c>
      <c r="Q6" s="14" t="s">
        <v>17</v>
      </c>
      <c r="R6" s="1" t="s">
        <v>27</v>
      </c>
      <c r="T6" s="19"/>
    </row>
    <row r="7" spans="1:29" x14ac:dyDescent="0.2">
      <c r="A7" s="12">
        <v>6</v>
      </c>
      <c r="B7" s="1" t="s">
        <v>1</v>
      </c>
      <c r="C7" s="1" t="s">
        <v>3</v>
      </c>
      <c r="D7" s="12">
        <v>1</v>
      </c>
      <c r="E7" s="106" t="s">
        <v>114</v>
      </c>
      <c r="F7" s="6">
        <v>45355</v>
      </c>
      <c r="G7" s="7">
        <v>0.67973379629629627</v>
      </c>
      <c r="H7" s="7">
        <v>0.68321759259259263</v>
      </c>
      <c r="I7" s="9">
        <f t="shared" si="0"/>
        <v>3.4837962962963598E-3</v>
      </c>
      <c r="K7" s="10">
        <v>0.67708333333333337</v>
      </c>
      <c r="L7" s="10">
        <v>0.6875</v>
      </c>
      <c r="M7" s="18" t="s">
        <v>23</v>
      </c>
      <c r="N7" s="40" t="s">
        <v>34</v>
      </c>
      <c r="O7" s="18" t="s">
        <v>48</v>
      </c>
      <c r="Q7" s="14" t="s">
        <v>17</v>
      </c>
      <c r="R7" s="1" t="s">
        <v>24</v>
      </c>
    </row>
    <row r="8" spans="1:29" s="5" customFormat="1" ht="15.75" x14ac:dyDescent="0.25">
      <c r="A8" s="12">
        <v>7</v>
      </c>
      <c r="B8" s="1" t="s">
        <v>1</v>
      </c>
      <c r="C8" s="1" t="s">
        <v>4</v>
      </c>
      <c r="D8" s="12">
        <v>1</v>
      </c>
      <c r="E8" s="106" t="s">
        <v>114</v>
      </c>
      <c r="F8" s="6">
        <v>45355</v>
      </c>
      <c r="G8" s="7">
        <v>0.71201388888888895</v>
      </c>
      <c r="H8" s="7">
        <v>0.76065972222222211</v>
      </c>
      <c r="I8" s="9">
        <f t="shared" si="0"/>
        <v>4.8645833333333166E-2</v>
      </c>
      <c r="K8" s="10">
        <v>0.70833333333333337</v>
      </c>
      <c r="L8" s="10">
        <v>0.77083333333333337</v>
      </c>
      <c r="M8" s="18" t="s">
        <v>23</v>
      </c>
      <c r="N8" s="40" t="s">
        <v>34</v>
      </c>
      <c r="O8" s="18" t="s">
        <v>48</v>
      </c>
      <c r="Q8" s="13" t="s">
        <v>20</v>
      </c>
      <c r="R8" s="1" t="s">
        <v>26</v>
      </c>
      <c r="S8" s="13" t="s">
        <v>28</v>
      </c>
      <c r="T8" s="1"/>
    </row>
    <row r="9" spans="1:29" x14ac:dyDescent="0.2">
      <c r="A9" s="25">
        <v>8</v>
      </c>
      <c r="B9" s="26" t="s">
        <v>0</v>
      </c>
      <c r="C9" s="26" t="s">
        <v>4</v>
      </c>
      <c r="D9" s="25">
        <v>2</v>
      </c>
      <c r="E9" s="107" t="s">
        <v>114</v>
      </c>
      <c r="F9" s="27">
        <v>45356</v>
      </c>
      <c r="G9" s="28">
        <v>0.74623842592592593</v>
      </c>
      <c r="H9" s="28">
        <v>0.78260416666666666</v>
      </c>
      <c r="I9" s="29">
        <f t="shared" si="0"/>
        <v>3.6365740740740726E-2</v>
      </c>
      <c r="J9" s="26"/>
      <c r="K9" s="30">
        <v>0.73958333333333337</v>
      </c>
      <c r="L9" s="30">
        <v>0.79166666666666663</v>
      </c>
      <c r="M9" s="25" t="s">
        <v>23</v>
      </c>
      <c r="N9" s="25" t="s">
        <v>34</v>
      </c>
      <c r="O9" s="25" t="s">
        <v>48</v>
      </c>
      <c r="P9" s="26"/>
      <c r="Q9" s="26" t="s">
        <v>19</v>
      </c>
      <c r="R9" s="26"/>
    </row>
    <row r="10" spans="1:29" x14ac:dyDescent="0.2">
      <c r="A10" s="25">
        <v>9</v>
      </c>
      <c r="B10" s="26" t="s">
        <v>2</v>
      </c>
      <c r="C10" s="26" t="s">
        <v>5</v>
      </c>
      <c r="D10" s="25">
        <v>2</v>
      </c>
      <c r="E10" s="107" t="s">
        <v>114</v>
      </c>
      <c r="F10" s="27">
        <v>45356</v>
      </c>
      <c r="G10" s="28">
        <v>0.80525462962962957</v>
      </c>
      <c r="H10" s="28">
        <v>0.81769675925925922</v>
      </c>
      <c r="I10" s="31">
        <f t="shared" si="0"/>
        <v>1.244212962962965E-2</v>
      </c>
      <c r="J10" s="26"/>
      <c r="K10" s="30">
        <v>0.80208333333333337</v>
      </c>
      <c r="L10" s="30">
        <v>0.82291666666666663</v>
      </c>
      <c r="M10" s="25" t="s">
        <v>23</v>
      </c>
      <c r="N10" s="25" t="s">
        <v>34</v>
      </c>
      <c r="O10" s="25" t="s">
        <v>48</v>
      </c>
      <c r="P10" s="26"/>
      <c r="Q10" s="26" t="s">
        <v>19</v>
      </c>
      <c r="R10" s="26"/>
    </row>
    <row r="11" spans="1:29" ht="15.75" x14ac:dyDescent="0.25">
      <c r="A11" s="21">
        <v>10</v>
      </c>
      <c r="B11" s="22" t="s">
        <v>0</v>
      </c>
      <c r="C11" s="22" t="s">
        <v>4</v>
      </c>
      <c r="D11" s="21">
        <v>3</v>
      </c>
      <c r="E11" s="108" t="s">
        <v>115</v>
      </c>
      <c r="F11" s="23">
        <v>45357</v>
      </c>
      <c r="G11" s="34">
        <v>0.65984953703703708</v>
      </c>
      <c r="H11" s="34">
        <v>0.69623842592592589</v>
      </c>
      <c r="I11" s="35">
        <f t="shared" ref="I11:I16" si="1">H11-G11</f>
        <v>3.6388888888888804E-2</v>
      </c>
      <c r="J11" s="22"/>
      <c r="K11" s="36">
        <v>0.65625</v>
      </c>
      <c r="L11" s="36">
        <v>0.69791666666666663</v>
      </c>
      <c r="M11" s="32" t="s">
        <v>49</v>
      </c>
      <c r="N11" s="57" t="s">
        <v>34</v>
      </c>
      <c r="O11" s="32" t="s">
        <v>49</v>
      </c>
      <c r="P11" s="22"/>
      <c r="Q11" s="37" t="s">
        <v>18</v>
      </c>
      <c r="R11" s="24" t="s">
        <v>29</v>
      </c>
      <c r="S11" s="39" t="s">
        <v>50</v>
      </c>
      <c r="T11" s="22"/>
      <c r="U11" s="22"/>
      <c r="V11" s="22"/>
      <c r="W11" s="22"/>
      <c r="X11" s="22"/>
    </row>
    <row r="12" spans="1:29" ht="15.75" x14ac:dyDescent="0.25">
      <c r="A12" s="12">
        <v>11</v>
      </c>
      <c r="B12" s="1" t="s">
        <v>1</v>
      </c>
      <c r="C12" s="1" t="s">
        <v>4</v>
      </c>
      <c r="D12" s="12">
        <v>2</v>
      </c>
      <c r="E12" s="106" t="s">
        <v>115</v>
      </c>
      <c r="F12" s="6">
        <v>45357</v>
      </c>
      <c r="G12" s="7">
        <v>0.72328703703703701</v>
      </c>
      <c r="H12" s="7">
        <v>0.77192129629629624</v>
      </c>
      <c r="I12" s="38">
        <f t="shared" si="1"/>
        <v>4.8634259259259238E-2</v>
      </c>
      <c r="K12" s="10">
        <v>0.71875</v>
      </c>
      <c r="L12" s="10">
        <v>0.77083333333333337</v>
      </c>
      <c r="M12" s="18" t="s">
        <v>49</v>
      </c>
      <c r="N12" s="40" t="s">
        <v>34</v>
      </c>
      <c r="O12" s="18" t="s">
        <v>49</v>
      </c>
      <c r="Q12" s="13" t="s">
        <v>20</v>
      </c>
      <c r="R12" s="20" t="s">
        <v>29</v>
      </c>
      <c r="S12" s="13" t="s">
        <v>51</v>
      </c>
    </row>
    <row r="13" spans="1:29" ht="15.75" x14ac:dyDescent="0.25">
      <c r="A13" s="12">
        <v>12</v>
      </c>
      <c r="B13" s="47" t="s">
        <v>0</v>
      </c>
      <c r="C13" s="47" t="s">
        <v>4</v>
      </c>
      <c r="D13" s="12">
        <v>4</v>
      </c>
      <c r="E13" s="106" t="s">
        <v>115</v>
      </c>
      <c r="F13" s="6">
        <v>45358</v>
      </c>
      <c r="G13" s="7">
        <v>0.64252314814814815</v>
      </c>
      <c r="H13" s="7">
        <v>0.67887731481481473</v>
      </c>
      <c r="I13" s="38">
        <f t="shared" si="1"/>
        <v>3.6354166666666576E-2</v>
      </c>
      <c r="K13" s="10">
        <v>0.63541666666666663</v>
      </c>
      <c r="L13" s="10">
        <v>0.6875</v>
      </c>
      <c r="M13" s="18" t="s">
        <v>23</v>
      </c>
      <c r="N13" s="40" t="s">
        <v>34</v>
      </c>
      <c r="O13" s="18" t="s">
        <v>69</v>
      </c>
      <c r="Q13" s="60" t="s">
        <v>18</v>
      </c>
      <c r="R13" s="20" t="s">
        <v>29</v>
      </c>
      <c r="S13" s="13" t="s">
        <v>69</v>
      </c>
    </row>
    <row r="14" spans="1:29" ht="15.75" x14ac:dyDescent="0.25">
      <c r="A14" s="12">
        <v>13</v>
      </c>
      <c r="B14" s="47" t="s">
        <v>0</v>
      </c>
      <c r="C14" s="47" t="s">
        <v>4</v>
      </c>
      <c r="D14" s="12">
        <v>5</v>
      </c>
      <c r="E14" s="106" t="s">
        <v>115</v>
      </c>
      <c r="F14" s="6">
        <v>45358</v>
      </c>
      <c r="G14" s="7">
        <v>0.69855324074074077</v>
      </c>
      <c r="H14" s="7">
        <v>0.72673611111111114</v>
      </c>
      <c r="I14" s="38">
        <f t="shared" si="1"/>
        <v>2.8182870370370372E-2</v>
      </c>
      <c r="K14" s="10">
        <v>0.69791666666666663</v>
      </c>
      <c r="L14" s="10">
        <v>0.72916666666666663</v>
      </c>
      <c r="M14" s="18" t="s">
        <v>23</v>
      </c>
      <c r="N14" s="40" t="s">
        <v>34</v>
      </c>
      <c r="O14" s="18" t="s">
        <v>69</v>
      </c>
      <c r="Q14" s="60" t="s">
        <v>18</v>
      </c>
      <c r="R14" s="1" t="s">
        <v>65</v>
      </c>
      <c r="S14" s="13" t="s">
        <v>64</v>
      </c>
    </row>
    <row r="15" spans="1:29" ht="15.75" x14ac:dyDescent="0.25">
      <c r="A15" s="12">
        <v>14</v>
      </c>
      <c r="B15" s="47" t="s">
        <v>0</v>
      </c>
      <c r="C15" s="47" t="s">
        <v>4</v>
      </c>
      <c r="D15" s="12">
        <v>6</v>
      </c>
      <c r="E15" s="106" t="s">
        <v>115</v>
      </c>
      <c r="F15" s="6">
        <v>45358</v>
      </c>
      <c r="G15" s="7">
        <v>0.74341435185185178</v>
      </c>
      <c r="H15" s="7">
        <v>0.77256944444444453</v>
      </c>
      <c r="I15" s="38">
        <f t="shared" si="1"/>
        <v>2.9155092592592746E-2</v>
      </c>
      <c r="K15" s="10">
        <v>0.73958333333333337</v>
      </c>
      <c r="L15" s="10">
        <v>0.78125</v>
      </c>
      <c r="M15" s="18" t="s">
        <v>23</v>
      </c>
      <c r="N15" s="40" t="s">
        <v>34</v>
      </c>
      <c r="O15" s="18" t="s">
        <v>69</v>
      </c>
      <c r="Q15" s="60" t="s">
        <v>18</v>
      </c>
      <c r="R15" s="1" t="s">
        <v>56</v>
      </c>
      <c r="S15" s="13" t="s">
        <v>66</v>
      </c>
    </row>
    <row r="16" spans="1:29" ht="15.75" x14ac:dyDescent="0.25">
      <c r="A16" s="21">
        <v>15</v>
      </c>
      <c r="B16" s="22" t="s">
        <v>0</v>
      </c>
      <c r="C16" s="22" t="s">
        <v>4</v>
      </c>
      <c r="D16" s="21">
        <v>7</v>
      </c>
      <c r="E16" s="108" t="s">
        <v>115</v>
      </c>
      <c r="F16" s="23">
        <v>45359</v>
      </c>
      <c r="G16" s="34">
        <v>0.47606481481481483</v>
      </c>
      <c r="H16" s="34">
        <v>0.52482638888888888</v>
      </c>
      <c r="I16" s="35">
        <f t="shared" si="1"/>
        <v>4.8761574074074054E-2</v>
      </c>
      <c r="J16" s="22"/>
      <c r="K16" s="36">
        <v>0.46875</v>
      </c>
      <c r="L16" s="36">
        <v>0.53125</v>
      </c>
      <c r="M16" s="32" t="s">
        <v>49</v>
      </c>
      <c r="N16" s="32" t="s">
        <v>49</v>
      </c>
      <c r="O16" s="32" t="s">
        <v>49</v>
      </c>
      <c r="P16" s="22"/>
      <c r="Q16" s="63" t="s">
        <v>17</v>
      </c>
      <c r="R16" s="22" t="s">
        <v>67</v>
      </c>
      <c r="S16" s="39" t="s">
        <v>68</v>
      </c>
      <c r="T16" s="22"/>
      <c r="U16" s="22"/>
      <c r="V16" s="22"/>
      <c r="W16" s="22"/>
      <c r="X16" s="22"/>
      <c r="AC16" s="59"/>
    </row>
    <row r="17" spans="1:26" x14ac:dyDescent="0.2">
      <c r="A17" s="12">
        <v>16</v>
      </c>
      <c r="B17" s="1" t="s">
        <v>2</v>
      </c>
      <c r="C17" s="1" t="s">
        <v>4</v>
      </c>
      <c r="D17" s="12">
        <v>2</v>
      </c>
      <c r="E17" s="106" t="s">
        <v>115</v>
      </c>
      <c r="F17" s="6">
        <v>45359</v>
      </c>
      <c r="G17" s="7">
        <v>0.5373148148148148</v>
      </c>
      <c r="H17" s="7">
        <v>0.58274305555555561</v>
      </c>
      <c r="I17" s="38">
        <f t="shared" ref="I17:I22" si="2">H17-G17</f>
        <v>4.5428240740740811E-2</v>
      </c>
      <c r="K17" s="10">
        <v>0.53125</v>
      </c>
      <c r="L17" s="10">
        <v>0.58333333333333337</v>
      </c>
      <c r="M17" s="18" t="s">
        <v>49</v>
      </c>
      <c r="N17" s="18" t="s">
        <v>49</v>
      </c>
      <c r="O17" s="18" t="s">
        <v>49</v>
      </c>
      <c r="Q17" s="14" t="s">
        <v>17</v>
      </c>
      <c r="R17" s="20" t="s">
        <v>29</v>
      </c>
    </row>
    <row r="18" spans="1:26" x14ac:dyDescent="0.2">
      <c r="A18" s="12">
        <v>17</v>
      </c>
      <c r="B18" s="1" t="s">
        <v>2</v>
      </c>
      <c r="C18" s="1" t="s">
        <v>5</v>
      </c>
      <c r="D18" s="12">
        <v>3</v>
      </c>
      <c r="E18" s="106" t="s">
        <v>115</v>
      </c>
      <c r="F18" s="6">
        <v>45359</v>
      </c>
      <c r="G18" s="7">
        <v>0.65432870370370366</v>
      </c>
      <c r="H18" s="7">
        <v>0.66675925925925927</v>
      </c>
      <c r="I18" s="38">
        <f t="shared" si="2"/>
        <v>1.2430555555555611E-2</v>
      </c>
      <c r="K18" s="10">
        <v>0.64583333333333337</v>
      </c>
      <c r="L18" s="10">
        <v>0.66666666666666663</v>
      </c>
      <c r="M18" s="18" t="s">
        <v>49</v>
      </c>
      <c r="N18" s="18" t="s">
        <v>49</v>
      </c>
      <c r="O18" s="18" t="s">
        <v>49</v>
      </c>
      <c r="Q18" s="14" t="s">
        <v>17</v>
      </c>
      <c r="R18" s="20" t="s">
        <v>29</v>
      </c>
    </row>
    <row r="19" spans="1:26" x14ac:dyDescent="0.2">
      <c r="A19" s="12">
        <v>18</v>
      </c>
      <c r="B19" s="1" t="s">
        <v>1</v>
      </c>
      <c r="C19" s="1" t="s">
        <v>4</v>
      </c>
      <c r="D19" s="12">
        <v>3</v>
      </c>
      <c r="E19" s="106" t="s">
        <v>115</v>
      </c>
      <c r="F19" s="6">
        <v>45362</v>
      </c>
      <c r="G19" s="7">
        <v>0.64358796296296295</v>
      </c>
      <c r="H19" s="7">
        <v>0.69230324074074068</v>
      </c>
      <c r="I19" s="38">
        <f t="shared" si="2"/>
        <v>4.8715277777777732E-2</v>
      </c>
      <c r="K19" s="10">
        <v>0.63541666666666663</v>
      </c>
      <c r="L19" s="10">
        <v>0.69791666666666663</v>
      </c>
      <c r="M19" s="18" t="s">
        <v>49</v>
      </c>
      <c r="N19" s="18" t="s">
        <v>49</v>
      </c>
      <c r="O19" s="18" t="s">
        <v>49</v>
      </c>
      <c r="Q19" s="14" t="s">
        <v>17</v>
      </c>
      <c r="R19" s="20" t="s">
        <v>29</v>
      </c>
    </row>
    <row r="20" spans="1:26" x14ac:dyDescent="0.2">
      <c r="A20" s="12">
        <v>19</v>
      </c>
      <c r="B20" s="1" t="s">
        <v>80</v>
      </c>
      <c r="C20" s="1" t="s">
        <v>3</v>
      </c>
      <c r="D20" s="12">
        <v>1</v>
      </c>
      <c r="E20" s="106" t="s">
        <v>115</v>
      </c>
      <c r="F20" s="6">
        <v>45363</v>
      </c>
      <c r="G20" s="7">
        <v>0.65979166666666667</v>
      </c>
      <c r="H20" s="7">
        <v>0.66682870370370362</v>
      </c>
      <c r="I20" s="38">
        <f t="shared" si="2"/>
        <v>7.0370370370369528E-3</v>
      </c>
      <c r="K20" s="10">
        <v>0.65625</v>
      </c>
      <c r="L20" s="10">
        <v>0.66666666666666663</v>
      </c>
      <c r="M20" s="18" t="s">
        <v>49</v>
      </c>
      <c r="N20" s="18" t="s">
        <v>49</v>
      </c>
      <c r="O20" s="18" t="s">
        <v>49</v>
      </c>
      <c r="Q20" s="14" t="s">
        <v>17</v>
      </c>
      <c r="R20" s="1" t="s">
        <v>24</v>
      </c>
      <c r="S20" s="1" t="s">
        <v>83</v>
      </c>
    </row>
    <row r="21" spans="1:26" ht="15.75" x14ac:dyDescent="0.25">
      <c r="A21" s="12">
        <v>20</v>
      </c>
      <c r="B21" s="1" t="s">
        <v>80</v>
      </c>
      <c r="C21" s="1" t="s">
        <v>4</v>
      </c>
      <c r="D21" s="12">
        <v>1</v>
      </c>
      <c r="E21" s="106" t="s">
        <v>115</v>
      </c>
      <c r="F21" s="6">
        <v>45363</v>
      </c>
      <c r="G21" s="7">
        <v>0.72006944444444443</v>
      </c>
      <c r="H21" s="7">
        <v>0.76891203703703714</v>
      </c>
      <c r="I21" s="38">
        <f t="shared" si="2"/>
        <v>4.8842592592592715E-2</v>
      </c>
      <c r="K21" s="10">
        <v>0.71875</v>
      </c>
      <c r="L21" s="10">
        <v>0.77083333333333337</v>
      </c>
      <c r="M21" s="18" t="s">
        <v>49</v>
      </c>
      <c r="N21" s="18" t="s">
        <v>49</v>
      </c>
      <c r="O21" s="18" t="s">
        <v>49</v>
      </c>
      <c r="Q21" s="14" t="s">
        <v>17</v>
      </c>
      <c r="R21" s="1" t="s">
        <v>26</v>
      </c>
      <c r="S21" s="1" t="s">
        <v>83</v>
      </c>
      <c r="U21" s="68" t="s">
        <v>112</v>
      </c>
    </row>
    <row r="22" spans="1:26" ht="15.75" x14ac:dyDescent="0.25">
      <c r="A22" s="12">
        <v>21</v>
      </c>
      <c r="B22" s="2" t="s">
        <v>80</v>
      </c>
      <c r="C22" s="2" t="s">
        <v>5</v>
      </c>
      <c r="D22" s="12">
        <v>1</v>
      </c>
      <c r="E22" s="106" t="s">
        <v>115</v>
      </c>
      <c r="F22" s="6">
        <v>45363</v>
      </c>
      <c r="G22" s="7">
        <v>0.79471064814814818</v>
      </c>
      <c r="H22" s="7">
        <v>0.84333333333333327</v>
      </c>
      <c r="I22" s="77">
        <f t="shared" si="2"/>
        <v>4.8622685185185088E-2</v>
      </c>
      <c r="K22" s="10">
        <v>0.79166666666666663</v>
      </c>
      <c r="L22" s="10">
        <v>0.84375</v>
      </c>
      <c r="M22" s="18" t="s">
        <v>49</v>
      </c>
      <c r="N22" s="18" t="s">
        <v>49</v>
      </c>
      <c r="O22" s="18" t="s">
        <v>49</v>
      </c>
      <c r="Q22" s="14" t="s">
        <v>17</v>
      </c>
      <c r="R22" s="1" t="s">
        <v>82</v>
      </c>
      <c r="S22" s="1" t="s">
        <v>83</v>
      </c>
      <c r="U22" s="68" t="s">
        <v>93</v>
      </c>
    </row>
    <row r="23" spans="1:26" x14ac:dyDescent="0.2">
      <c r="A23" s="12">
        <v>22</v>
      </c>
      <c r="B23" s="1" t="s">
        <v>86</v>
      </c>
      <c r="C23" s="1" t="s">
        <v>3</v>
      </c>
      <c r="D23" s="12">
        <v>1</v>
      </c>
      <c r="E23" s="106" t="s">
        <v>115</v>
      </c>
      <c r="F23" s="6">
        <v>45365</v>
      </c>
      <c r="G23" s="7">
        <v>0.6880208333333333</v>
      </c>
      <c r="H23" s="7">
        <v>0.69506944444444441</v>
      </c>
      <c r="I23" s="38">
        <f>H23-G23</f>
        <v>7.0486111111111027E-3</v>
      </c>
      <c r="K23" s="10">
        <v>0.6875</v>
      </c>
      <c r="L23" s="10">
        <v>0.69791666666666663</v>
      </c>
      <c r="M23" s="18" t="s">
        <v>49</v>
      </c>
      <c r="N23" s="18" t="s">
        <v>49</v>
      </c>
      <c r="O23" s="18" t="s">
        <v>49</v>
      </c>
      <c r="Q23" s="14" t="s">
        <v>17</v>
      </c>
      <c r="R23" s="1" t="s">
        <v>24</v>
      </c>
    </row>
    <row r="24" spans="1:26" x14ac:dyDescent="0.2">
      <c r="A24" s="12">
        <v>23</v>
      </c>
      <c r="B24" s="1" t="s">
        <v>86</v>
      </c>
      <c r="C24" s="1" t="s">
        <v>4</v>
      </c>
      <c r="D24" s="12">
        <v>1</v>
      </c>
      <c r="E24" s="106" t="s">
        <v>115</v>
      </c>
      <c r="F24" s="6">
        <v>45365</v>
      </c>
      <c r="G24" s="7">
        <v>0.72237268518518516</v>
      </c>
      <c r="H24" s="7">
        <v>0.7712268518518518</v>
      </c>
      <c r="I24" s="38">
        <f>H24-G24</f>
        <v>4.8854166666666643E-2</v>
      </c>
      <c r="K24" s="10">
        <v>0.71875</v>
      </c>
      <c r="L24" s="10">
        <v>0.77083333333333337</v>
      </c>
      <c r="M24" s="18" t="s">
        <v>49</v>
      </c>
      <c r="N24" s="18" t="s">
        <v>49</v>
      </c>
      <c r="O24" s="18" t="s">
        <v>49</v>
      </c>
      <c r="Q24" s="14" t="s">
        <v>17</v>
      </c>
      <c r="R24" s="1" t="s">
        <v>26</v>
      </c>
    </row>
    <row r="25" spans="1:26" ht="15.75" x14ac:dyDescent="0.25">
      <c r="A25" s="12">
        <v>24</v>
      </c>
      <c r="B25" s="2" t="s">
        <v>86</v>
      </c>
      <c r="C25" s="2" t="s">
        <v>5</v>
      </c>
      <c r="D25" s="12">
        <v>1</v>
      </c>
      <c r="E25" s="106" t="s">
        <v>115</v>
      </c>
      <c r="F25" s="6">
        <v>45365</v>
      </c>
      <c r="G25" s="7">
        <v>0.78181712962962957</v>
      </c>
      <c r="H25" s="7">
        <v>0.83045138888888881</v>
      </c>
      <c r="I25" s="77">
        <f>H25-G25</f>
        <v>4.8634259259259238E-2</v>
      </c>
      <c r="K25" s="7">
        <v>0.78125</v>
      </c>
      <c r="L25" s="7">
        <v>0.83333333333333337</v>
      </c>
      <c r="M25" s="18" t="s">
        <v>49</v>
      </c>
      <c r="N25" s="18" t="s">
        <v>49</v>
      </c>
      <c r="O25" s="18" t="s">
        <v>49</v>
      </c>
      <c r="Q25" s="14" t="s">
        <v>17</v>
      </c>
      <c r="R25" s="1" t="s">
        <v>87</v>
      </c>
      <c r="S25" s="2" t="s">
        <v>94</v>
      </c>
    </row>
    <row r="26" spans="1:26" ht="15.75" x14ac:dyDescent="0.25">
      <c r="A26" s="12">
        <v>25</v>
      </c>
      <c r="B26" s="47" t="s">
        <v>0</v>
      </c>
      <c r="C26" s="47" t="s">
        <v>5</v>
      </c>
      <c r="D26" s="12">
        <v>1</v>
      </c>
      <c r="E26" s="106" t="s">
        <v>115</v>
      </c>
      <c r="F26" s="6">
        <v>45365</v>
      </c>
      <c r="G26" s="7">
        <v>0.87010416666666668</v>
      </c>
      <c r="H26" s="7">
        <v>0.91872685185185177</v>
      </c>
      <c r="I26" s="38">
        <f>H26-G26</f>
        <v>4.8622685185185088E-2</v>
      </c>
      <c r="K26" s="7">
        <v>0.86458333333333337</v>
      </c>
      <c r="L26" s="10">
        <v>0.92708333333333337</v>
      </c>
      <c r="M26" s="18" t="s">
        <v>49</v>
      </c>
      <c r="N26" s="18" t="s">
        <v>49</v>
      </c>
      <c r="O26" s="18" t="s">
        <v>49</v>
      </c>
      <c r="Q26" s="14" t="s">
        <v>17</v>
      </c>
      <c r="R26" s="1" t="s">
        <v>82</v>
      </c>
      <c r="S26" s="68" t="s">
        <v>96</v>
      </c>
    </row>
    <row r="27" spans="1:26" ht="15.75" x14ac:dyDescent="0.25">
      <c r="A27" s="12">
        <v>26</v>
      </c>
      <c r="B27" s="1" t="s">
        <v>2</v>
      </c>
      <c r="C27" s="47" t="s">
        <v>85</v>
      </c>
      <c r="D27" s="12">
        <v>1</v>
      </c>
      <c r="E27" s="106" t="s">
        <v>115</v>
      </c>
      <c r="F27" s="6">
        <v>45365</v>
      </c>
      <c r="G27" s="7">
        <v>0.99156250000000001</v>
      </c>
      <c r="H27" s="7">
        <v>3.6990740740740741E-2</v>
      </c>
      <c r="I27" s="77">
        <v>4.8622685185185088E-2</v>
      </c>
      <c r="K27" s="10">
        <v>0.98958333333333337</v>
      </c>
      <c r="L27" s="10">
        <v>4.1666666666666664E-2</v>
      </c>
      <c r="M27" s="18" t="s">
        <v>49</v>
      </c>
      <c r="N27" s="18" t="s">
        <v>49</v>
      </c>
      <c r="O27" s="18" t="s">
        <v>49</v>
      </c>
      <c r="Q27" s="14" t="s">
        <v>17</v>
      </c>
      <c r="R27" s="1" t="s">
        <v>82</v>
      </c>
      <c r="S27" s="68" t="s">
        <v>97</v>
      </c>
    </row>
    <row r="28" spans="1:26" ht="15.75" x14ac:dyDescent="0.25">
      <c r="A28" s="12">
        <v>27</v>
      </c>
      <c r="B28" s="1" t="s">
        <v>1</v>
      </c>
      <c r="C28" s="1" t="s">
        <v>5</v>
      </c>
      <c r="D28" s="12">
        <v>1</v>
      </c>
      <c r="E28" s="106" t="s">
        <v>115</v>
      </c>
      <c r="F28" s="6">
        <v>45366</v>
      </c>
      <c r="G28" s="7">
        <v>0.31351851851851853</v>
      </c>
      <c r="H28" s="7">
        <v>0.36212962962962963</v>
      </c>
      <c r="I28" s="77">
        <f t="shared" ref="I28:I35" si="3">H28-G28</f>
        <v>4.8611111111111105E-2</v>
      </c>
      <c r="K28" s="10">
        <v>0.3125</v>
      </c>
      <c r="L28" s="10">
        <v>0.36458333333333331</v>
      </c>
      <c r="M28" s="18" t="s">
        <v>49</v>
      </c>
      <c r="N28" s="18" t="s">
        <v>49</v>
      </c>
      <c r="O28" s="18" t="s">
        <v>49</v>
      </c>
      <c r="Q28" s="14" t="s">
        <v>17</v>
      </c>
      <c r="R28" s="1" t="s">
        <v>82</v>
      </c>
      <c r="S28" s="68" t="s">
        <v>95</v>
      </c>
    </row>
    <row r="29" spans="1:26" x14ac:dyDescent="0.2">
      <c r="A29" s="12">
        <v>28</v>
      </c>
      <c r="B29" s="1" t="s">
        <v>90</v>
      </c>
      <c r="C29" s="1" t="s">
        <v>3</v>
      </c>
      <c r="D29" s="12">
        <v>1</v>
      </c>
      <c r="E29" s="106" t="s">
        <v>115</v>
      </c>
      <c r="F29" s="6">
        <v>45366</v>
      </c>
      <c r="G29" s="7">
        <v>0.67738425925925927</v>
      </c>
      <c r="H29" s="7">
        <v>0.68440972222222218</v>
      </c>
      <c r="I29" s="38">
        <f t="shared" si="3"/>
        <v>7.0254629629629139E-3</v>
      </c>
      <c r="K29" s="10">
        <v>0.67708333333333337</v>
      </c>
      <c r="L29" s="10">
        <v>0.6875</v>
      </c>
      <c r="M29" s="25" t="s">
        <v>23</v>
      </c>
      <c r="N29" s="25" t="s">
        <v>23</v>
      </c>
      <c r="O29" s="25" t="s">
        <v>23</v>
      </c>
      <c r="Q29" s="14" t="s">
        <v>17</v>
      </c>
      <c r="R29" s="1" t="s">
        <v>24</v>
      </c>
    </row>
    <row r="30" spans="1:26" x14ac:dyDescent="0.2">
      <c r="A30" s="12">
        <v>29</v>
      </c>
      <c r="B30" s="1" t="s">
        <v>91</v>
      </c>
      <c r="C30" s="1" t="s">
        <v>3</v>
      </c>
      <c r="D30" s="12">
        <v>1</v>
      </c>
      <c r="E30" s="106" t="s">
        <v>115</v>
      </c>
      <c r="F30" s="6">
        <v>45366</v>
      </c>
      <c r="G30" s="7">
        <v>0.68671296296296302</v>
      </c>
      <c r="H30" s="7">
        <v>0.69377314814814817</v>
      </c>
      <c r="I30" s="38">
        <f t="shared" si="3"/>
        <v>7.0601851851851416E-3</v>
      </c>
      <c r="K30" s="10">
        <v>0.6875</v>
      </c>
      <c r="L30" s="10">
        <v>0.69791666666666663</v>
      </c>
      <c r="M30" s="25" t="s">
        <v>23</v>
      </c>
      <c r="N30" s="25" t="s">
        <v>23</v>
      </c>
      <c r="O30" s="25" t="s">
        <v>23</v>
      </c>
      <c r="Q30" s="14" t="s">
        <v>17</v>
      </c>
      <c r="R30" s="1" t="s">
        <v>24</v>
      </c>
    </row>
    <row r="31" spans="1:26" ht="15.75" x14ac:dyDescent="0.25">
      <c r="A31" s="25">
        <v>30</v>
      </c>
      <c r="B31" s="26" t="s">
        <v>90</v>
      </c>
      <c r="C31" s="26" t="s">
        <v>4</v>
      </c>
      <c r="D31" s="25">
        <v>1</v>
      </c>
      <c r="E31" s="107" t="s">
        <v>115</v>
      </c>
      <c r="F31" s="27">
        <v>45366</v>
      </c>
      <c r="G31" s="28">
        <v>0.7020601851851852</v>
      </c>
      <c r="H31" s="28">
        <v>0.75090277777777781</v>
      </c>
      <c r="I31" s="31">
        <f t="shared" si="3"/>
        <v>4.8842592592592604E-2</v>
      </c>
      <c r="J31" s="26"/>
      <c r="K31" s="30">
        <v>0.69791666666666663</v>
      </c>
      <c r="L31" s="30">
        <v>0.76041666666666663</v>
      </c>
      <c r="M31" s="25" t="s">
        <v>23</v>
      </c>
      <c r="N31" s="25" t="s">
        <v>34</v>
      </c>
      <c r="O31" s="25" t="s">
        <v>23</v>
      </c>
      <c r="Q31" s="13" t="s">
        <v>99</v>
      </c>
      <c r="R31" s="1" t="s">
        <v>26</v>
      </c>
      <c r="S31" s="2" t="s">
        <v>99</v>
      </c>
    </row>
    <row r="32" spans="1:26" ht="15.75" x14ac:dyDescent="0.25">
      <c r="A32" s="21">
        <v>31</v>
      </c>
      <c r="B32" s="22" t="s">
        <v>91</v>
      </c>
      <c r="C32" s="22" t="s">
        <v>4</v>
      </c>
      <c r="D32" s="21">
        <v>1</v>
      </c>
      <c r="E32" s="108" t="s">
        <v>115</v>
      </c>
      <c r="F32" s="23">
        <v>45370</v>
      </c>
      <c r="G32" s="34">
        <v>0.44280092592592596</v>
      </c>
      <c r="H32" s="34">
        <v>0.49164351851851856</v>
      </c>
      <c r="I32" s="35">
        <f t="shared" si="3"/>
        <v>4.8842592592592604E-2</v>
      </c>
      <c r="J32" s="22"/>
      <c r="K32" s="36">
        <v>0.4375</v>
      </c>
      <c r="L32" s="36">
        <v>0.5</v>
      </c>
      <c r="M32" s="32" t="s">
        <v>49</v>
      </c>
      <c r="N32" s="32" t="s">
        <v>49</v>
      </c>
      <c r="O32" s="32" t="s">
        <v>49</v>
      </c>
      <c r="P32" s="22"/>
      <c r="Q32" s="63" t="s">
        <v>17</v>
      </c>
      <c r="R32" s="22" t="s">
        <v>26</v>
      </c>
      <c r="S32" s="70" t="s">
        <v>98</v>
      </c>
      <c r="T32" s="22"/>
      <c r="U32" s="22"/>
      <c r="V32" s="22"/>
      <c r="W32" s="22"/>
      <c r="X32" s="22"/>
      <c r="Z32" s="67" t="s">
        <v>92</v>
      </c>
    </row>
    <row r="33" spans="1:48" ht="15.75" x14ac:dyDescent="0.25">
      <c r="A33" s="71">
        <v>32</v>
      </c>
      <c r="B33" s="72" t="s">
        <v>90</v>
      </c>
      <c r="C33" s="26" t="s">
        <v>5</v>
      </c>
      <c r="D33" s="71">
        <v>1</v>
      </c>
      <c r="E33" s="109" t="s">
        <v>115</v>
      </c>
      <c r="F33" s="73">
        <v>45370</v>
      </c>
      <c r="G33" s="74">
        <v>0.6677777777777778</v>
      </c>
      <c r="H33" s="74">
        <v>0.71648148148148139</v>
      </c>
      <c r="I33" s="75">
        <f t="shared" si="3"/>
        <v>4.8703703703703582E-2</v>
      </c>
      <c r="J33" s="72"/>
      <c r="K33" s="76">
        <v>0.66666666666666663</v>
      </c>
      <c r="L33" s="76">
        <v>0.71875</v>
      </c>
      <c r="M33" s="25" t="s">
        <v>23</v>
      </c>
      <c r="N33" s="25" t="s">
        <v>23</v>
      </c>
      <c r="O33" s="25" t="s">
        <v>23</v>
      </c>
      <c r="P33" s="47"/>
      <c r="Q33" s="13" t="s">
        <v>20</v>
      </c>
      <c r="R33" s="47" t="s">
        <v>82</v>
      </c>
      <c r="S33" s="68" t="s">
        <v>99</v>
      </c>
      <c r="T33" s="47"/>
      <c r="U33" s="47"/>
      <c r="V33" s="47"/>
      <c r="W33" s="47"/>
      <c r="X33" s="47"/>
      <c r="Z33" s="65" t="s">
        <v>100</v>
      </c>
    </row>
    <row r="34" spans="1:48" ht="15.75" x14ac:dyDescent="0.25">
      <c r="A34" s="12">
        <v>33</v>
      </c>
      <c r="B34" s="1" t="s">
        <v>91</v>
      </c>
      <c r="C34" s="1" t="s">
        <v>5</v>
      </c>
      <c r="D34" s="12">
        <v>1</v>
      </c>
      <c r="E34" s="106" t="s">
        <v>115</v>
      </c>
      <c r="F34" s="69">
        <v>45370</v>
      </c>
      <c r="G34" s="7">
        <v>0.73033564814814822</v>
      </c>
      <c r="H34" s="7">
        <v>0.7790393518518518</v>
      </c>
      <c r="I34" s="38">
        <f t="shared" si="3"/>
        <v>4.8703703703703582E-2</v>
      </c>
      <c r="K34" s="10">
        <v>0.72916666666666663</v>
      </c>
      <c r="L34" s="10">
        <v>0.78125</v>
      </c>
      <c r="M34" s="18" t="s">
        <v>49</v>
      </c>
      <c r="N34" s="18" t="s">
        <v>49</v>
      </c>
      <c r="O34" s="18" t="s">
        <v>49</v>
      </c>
      <c r="Q34" s="13" t="s">
        <v>20</v>
      </c>
      <c r="R34" s="47" t="s">
        <v>82</v>
      </c>
      <c r="S34" s="67" t="s">
        <v>106</v>
      </c>
      <c r="Z34" s="13" t="s">
        <v>100</v>
      </c>
      <c r="AC34" s="1" t="s">
        <v>102</v>
      </c>
      <c r="AK34" s="1" t="s">
        <v>101</v>
      </c>
      <c r="AN34" s="1" t="s">
        <v>103</v>
      </c>
      <c r="AV34" s="1" t="s">
        <v>104</v>
      </c>
    </row>
    <row r="35" spans="1:48" ht="15.75" x14ac:dyDescent="0.25">
      <c r="A35" s="12">
        <v>34</v>
      </c>
      <c r="B35" s="47" t="s">
        <v>90</v>
      </c>
      <c r="C35" s="1" t="s">
        <v>4</v>
      </c>
      <c r="D35" s="12">
        <v>2</v>
      </c>
      <c r="E35" s="106" t="s">
        <v>115</v>
      </c>
      <c r="F35" s="69">
        <v>45370</v>
      </c>
      <c r="G35" s="7">
        <v>0.79502314814814812</v>
      </c>
      <c r="H35" s="7">
        <v>0.84387731481481476</v>
      </c>
      <c r="I35" s="38">
        <f t="shared" si="3"/>
        <v>4.8854166666666643E-2</v>
      </c>
      <c r="K35" s="10">
        <v>0.79166666666666663</v>
      </c>
      <c r="L35" s="10">
        <v>0.84375</v>
      </c>
      <c r="M35" s="18" t="s">
        <v>49</v>
      </c>
      <c r="N35" s="18" t="s">
        <v>49</v>
      </c>
      <c r="O35" s="18" t="s">
        <v>49</v>
      </c>
      <c r="Q35" s="14" t="s">
        <v>17</v>
      </c>
      <c r="R35" s="47"/>
      <c r="S35" s="67" t="s">
        <v>105</v>
      </c>
    </row>
    <row r="36" spans="1:48" ht="15.75" x14ac:dyDescent="0.25">
      <c r="A36" s="12">
        <v>35</v>
      </c>
      <c r="B36" s="47" t="s">
        <v>90</v>
      </c>
      <c r="C36" s="16" t="s">
        <v>5</v>
      </c>
      <c r="D36" s="12">
        <v>2</v>
      </c>
      <c r="E36" s="106" t="s">
        <v>115</v>
      </c>
      <c r="F36" s="69">
        <v>45371</v>
      </c>
      <c r="G36" s="7">
        <v>0.43828703703703703</v>
      </c>
      <c r="H36" s="7">
        <v>0.48693287037037036</v>
      </c>
      <c r="I36" s="38">
        <f t="shared" ref="I36:I42" si="4">H36-G36</f>
        <v>4.8645833333333333E-2</v>
      </c>
      <c r="K36" s="10">
        <v>0.4375</v>
      </c>
      <c r="L36" s="10">
        <v>0.48958333333333331</v>
      </c>
      <c r="M36" s="18" t="s">
        <v>49</v>
      </c>
      <c r="N36" s="18" t="s">
        <v>49</v>
      </c>
      <c r="O36" s="18" t="s">
        <v>49</v>
      </c>
      <c r="Q36" s="13" t="s">
        <v>20</v>
      </c>
      <c r="R36" s="47"/>
      <c r="S36" s="67" t="s">
        <v>110</v>
      </c>
      <c r="Z36" s="65" t="s">
        <v>100</v>
      </c>
      <c r="AC36" s="1" t="s">
        <v>103</v>
      </c>
      <c r="AK36" s="1" t="s">
        <v>108</v>
      </c>
      <c r="AN36" s="1" t="s">
        <v>107</v>
      </c>
      <c r="AV36" s="1" t="s">
        <v>109</v>
      </c>
    </row>
    <row r="37" spans="1:48" ht="15.75" x14ac:dyDescent="0.25">
      <c r="A37" s="21">
        <v>36</v>
      </c>
      <c r="B37" s="22" t="s">
        <v>0</v>
      </c>
      <c r="C37" s="22" t="s">
        <v>5</v>
      </c>
      <c r="D37" s="21">
        <v>2</v>
      </c>
      <c r="E37" s="125" t="s">
        <v>116</v>
      </c>
      <c r="F37" s="23">
        <v>45373</v>
      </c>
      <c r="G37" s="34">
        <v>0.65631944444444446</v>
      </c>
      <c r="H37" s="34">
        <v>0.70494212962962965</v>
      </c>
      <c r="I37" s="83">
        <f t="shared" si="4"/>
        <v>4.8622685185185199E-2</v>
      </c>
      <c r="J37" s="22"/>
      <c r="K37" s="36"/>
      <c r="L37" s="36"/>
      <c r="M37" s="32"/>
      <c r="N37" s="32"/>
      <c r="O37" s="32"/>
      <c r="P37" s="22"/>
      <c r="Q37" s="110" t="s">
        <v>17</v>
      </c>
      <c r="R37" s="24" t="s">
        <v>119</v>
      </c>
      <c r="S37" s="70"/>
      <c r="T37" s="22"/>
      <c r="U37" s="22"/>
      <c r="V37" s="22"/>
      <c r="W37" s="22"/>
      <c r="X37" s="22"/>
      <c r="Z37" s="68" t="s">
        <v>121</v>
      </c>
    </row>
    <row r="38" spans="1:48" ht="15.75" x14ac:dyDescent="0.25">
      <c r="A38" s="48">
        <v>37</v>
      </c>
      <c r="B38" s="47" t="s">
        <v>0</v>
      </c>
      <c r="C38" s="47" t="s">
        <v>5</v>
      </c>
      <c r="D38" s="48">
        <v>3</v>
      </c>
      <c r="E38" s="126" t="s">
        <v>116</v>
      </c>
      <c r="F38" s="69">
        <v>45377</v>
      </c>
      <c r="G38" s="84">
        <v>0.60649305555555555</v>
      </c>
      <c r="H38" s="84">
        <v>0.65511574074074075</v>
      </c>
      <c r="I38" s="85">
        <f t="shared" si="4"/>
        <v>4.8622685185185199E-2</v>
      </c>
      <c r="J38" s="47"/>
      <c r="K38" s="86">
        <v>0.60069444444444442</v>
      </c>
      <c r="L38" s="86">
        <v>0.66666666666666663</v>
      </c>
      <c r="M38" s="87" t="s">
        <v>49</v>
      </c>
      <c r="N38" s="87" t="s">
        <v>49</v>
      </c>
      <c r="O38" s="87" t="s">
        <v>49</v>
      </c>
      <c r="P38" s="47"/>
      <c r="Q38" s="111" t="s">
        <v>17</v>
      </c>
      <c r="R38" s="88"/>
      <c r="S38" s="67" t="s">
        <v>153</v>
      </c>
      <c r="T38" s="47"/>
      <c r="U38" s="47"/>
      <c r="V38" s="47"/>
      <c r="W38" s="47"/>
      <c r="X38" s="47"/>
      <c r="Z38" s="65"/>
    </row>
    <row r="39" spans="1:48" ht="15.75" x14ac:dyDescent="0.25">
      <c r="A39" s="48">
        <v>38</v>
      </c>
      <c r="B39" s="1" t="s">
        <v>2</v>
      </c>
      <c r="C39" s="47" t="s">
        <v>85</v>
      </c>
      <c r="D39" s="48">
        <v>2</v>
      </c>
      <c r="E39" s="126" t="s">
        <v>116</v>
      </c>
      <c r="F39" s="69">
        <v>45377</v>
      </c>
      <c r="G39" s="84">
        <v>0.74156250000000001</v>
      </c>
      <c r="H39" s="84">
        <v>0.78699074074074071</v>
      </c>
      <c r="I39" s="145">
        <f t="shared" si="4"/>
        <v>4.54282407407407E-2</v>
      </c>
      <c r="J39" s="47"/>
      <c r="K39" s="86">
        <v>0.73611111111111116</v>
      </c>
      <c r="L39" s="86">
        <v>0.79166666666666663</v>
      </c>
      <c r="M39" s="87" t="s">
        <v>49</v>
      </c>
      <c r="N39" s="87" t="s">
        <v>49</v>
      </c>
      <c r="O39" s="87" t="s">
        <v>49</v>
      </c>
      <c r="P39" s="47"/>
      <c r="Q39" s="111" t="s">
        <v>17</v>
      </c>
      <c r="R39" s="88"/>
      <c r="S39" s="67" t="s">
        <v>154</v>
      </c>
      <c r="T39" s="47"/>
      <c r="U39" s="47"/>
      <c r="V39" s="47"/>
      <c r="W39" s="47"/>
      <c r="X39" s="47"/>
      <c r="Z39" s="65"/>
    </row>
    <row r="40" spans="1:48" ht="15.75" x14ac:dyDescent="0.25">
      <c r="A40" s="21">
        <v>39</v>
      </c>
      <c r="B40" s="70" t="s">
        <v>0</v>
      </c>
      <c r="C40" s="70" t="s">
        <v>5</v>
      </c>
      <c r="D40" s="21">
        <v>4</v>
      </c>
      <c r="E40" s="108" t="s">
        <v>116</v>
      </c>
      <c r="F40" s="23">
        <v>45378</v>
      </c>
      <c r="G40" s="34">
        <v>0.69988425925925923</v>
      </c>
      <c r="H40" s="34">
        <v>0.74850694444444443</v>
      </c>
      <c r="I40" s="83">
        <f t="shared" si="4"/>
        <v>4.8622685185185199E-2</v>
      </c>
      <c r="J40" s="22"/>
      <c r="K40" s="36">
        <v>0.69791666666666663</v>
      </c>
      <c r="L40" s="36">
        <v>0.75</v>
      </c>
      <c r="M40" s="32" t="s">
        <v>49</v>
      </c>
      <c r="N40" s="32" t="s">
        <v>49</v>
      </c>
      <c r="O40" s="32" t="s">
        <v>49</v>
      </c>
      <c r="P40" s="22"/>
      <c r="Q40" s="63" t="s">
        <v>17</v>
      </c>
      <c r="R40" s="24"/>
      <c r="S40" s="70" t="s">
        <v>158</v>
      </c>
      <c r="T40" s="22"/>
      <c r="U40" s="22"/>
      <c r="V40" s="22"/>
      <c r="W40" s="22"/>
      <c r="X40" s="22"/>
      <c r="Z40" s="65" t="s">
        <v>218</v>
      </c>
    </row>
    <row r="41" spans="1:48" ht="15.75" x14ac:dyDescent="0.25">
      <c r="A41" s="48">
        <v>40</v>
      </c>
      <c r="B41" s="2" t="s">
        <v>2</v>
      </c>
      <c r="C41" s="67" t="s">
        <v>85</v>
      </c>
      <c r="D41" s="48">
        <v>3</v>
      </c>
      <c r="E41" s="99" t="s">
        <v>116</v>
      </c>
      <c r="F41" s="69">
        <v>45379</v>
      </c>
      <c r="G41" s="84">
        <v>0.37285879629629631</v>
      </c>
      <c r="H41" s="84">
        <v>0.41829861111111111</v>
      </c>
      <c r="I41" s="85">
        <f t="shared" si="4"/>
        <v>4.5439814814814794E-2</v>
      </c>
      <c r="J41" s="47"/>
      <c r="K41" s="86">
        <v>0.36458333333333331</v>
      </c>
      <c r="L41" s="86">
        <v>0.42708333333333331</v>
      </c>
      <c r="M41" s="87" t="s">
        <v>49</v>
      </c>
      <c r="N41" s="87" t="s">
        <v>49</v>
      </c>
      <c r="O41" s="87" t="s">
        <v>49</v>
      </c>
      <c r="P41" s="47"/>
      <c r="Q41" s="111" t="s">
        <v>17</v>
      </c>
      <c r="R41" s="88"/>
      <c r="S41" s="67" t="s">
        <v>159</v>
      </c>
      <c r="T41" s="47"/>
      <c r="U41" s="47"/>
      <c r="V41" s="47"/>
      <c r="W41" s="47"/>
      <c r="X41" s="47"/>
      <c r="Z41" s="65"/>
    </row>
    <row r="42" spans="1:48" ht="15.75" x14ac:dyDescent="0.25">
      <c r="A42" s="48">
        <v>41</v>
      </c>
      <c r="B42" s="2" t="s">
        <v>1</v>
      </c>
      <c r="C42" s="2" t="s">
        <v>5</v>
      </c>
      <c r="D42" s="48">
        <v>2</v>
      </c>
      <c r="E42" s="99" t="s">
        <v>116</v>
      </c>
      <c r="F42" s="69">
        <v>45379</v>
      </c>
      <c r="G42" s="84">
        <v>0.43885416666666671</v>
      </c>
      <c r="H42" s="84">
        <v>0.4874768518518518</v>
      </c>
      <c r="I42" s="85">
        <f t="shared" si="4"/>
        <v>4.8622685185185088E-2</v>
      </c>
      <c r="J42" s="47"/>
      <c r="K42" s="86">
        <v>0.4375</v>
      </c>
      <c r="L42" s="86">
        <v>0.48958333333333331</v>
      </c>
      <c r="M42" s="87" t="s">
        <v>49</v>
      </c>
      <c r="N42" s="87" t="s">
        <v>49</v>
      </c>
      <c r="O42" s="87" t="s">
        <v>49</v>
      </c>
      <c r="P42" s="47"/>
      <c r="Q42" s="111" t="s">
        <v>17</v>
      </c>
      <c r="R42" s="88"/>
      <c r="S42" s="67" t="s">
        <v>160</v>
      </c>
      <c r="T42" s="47"/>
      <c r="U42" s="47"/>
      <c r="V42" s="47"/>
      <c r="W42" s="47"/>
      <c r="X42" s="47"/>
      <c r="Z42" s="65" t="s">
        <v>219</v>
      </c>
    </row>
    <row r="43" spans="1:48" ht="15.75" x14ac:dyDescent="0.25">
      <c r="A43" s="71">
        <v>42</v>
      </c>
      <c r="B43" s="72" t="s">
        <v>80</v>
      </c>
      <c r="C43" s="72" t="s">
        <v>5</v>
      </c>
      <c r="D43" s="71">
        <v>2</v>
      </c>
      <c r="E43" s="109" t="s">
        <v>116</v>
      </c>
      <c r="F43" s="73">
        <v>45379</v>
      </c>
      <c r="G43" s="74">
        <v>0.65217592592592599</v>
      </c>
      <c r="H43" s="74">
        <v>0.69166666666666676</v>
      </c>
      <c r="I43" s="128">
        <f>H43-G43</f>
        <v>3.9490740740740771E-2</v>
      </c>
      <c r="J43" s="72"/>
      <c r="K43" s="76">
        <v>0.64583333333333337</v>
      </c>
      <c r="L43" s="76"/>
      <c r="M43" s="71" t="s">
        <v>23</v>
      </c>
      <c r="N43" s="71" t="s">
        <v>23</v>
      </c>
      <c r="O43" s="71" t="s">
        <v>23</v>
      </c>
      <c r="P43" s="72"/>
      <c r="Q43" s="65" t="s">
        <v>20</v>
      </c>
      <c r="R43" s="88"/>
      <c r="S43" s="67" t="s">
        <v>161</v>
      </c>
      <c r="T43" s="47"/>
      <c r="U43" s="47"/>
      <c r="V43" s="47"/>
      <c r="W43" s="47"/>
      <c r="X43" s="47"/>
      <c r="Z43" s="65" t="s">
        <v>162</v>
      </c>
    </row>
    <row r="44" spans="1:48" ht="15.75" x14ac:dyDescent="0.25">
      <c r="A44" s="71">
        <v>43</v>
      </c>
      <c r="B44" s="72" t="s">
        <v>80</v>
      </c>
      <c r="C44" s="72" t="s">
        <v>5</v>
      </c>
      <c r="D44" s="71">
        <v>3</v>
      </c>
      <c r="E44" s="109" t="s">
        <v>116</v>
      </c>
      <c r="F44" s="73">
        <v>45379</v>
      </c>
      <c r="G44" s="74">
        <v>0.71040509259259255</v>
      </c>
      <c r="H44" s="74">
        <v>0.72326388888888893</v>
      </c>
      <c r="I44" s="128">
        <f>H44-G44</f>
        <v>1.2858796296296382E-2</v>
      </c>
      <c r="J44" s="72"/>
      <c r="K44" s="76">
        <v>0.70833333333333337</v>
      </c>
      <c r="L44" s="76"/>
      <c r="M44" s="71" t="s">
        <v>23</v>
      </c>
      <c r="N44" s="71" t="s">
        <v>23</v>
      </c>
      <c r="O44" s="71" t="s">
        <v>23</v>
      </c>
      <c r="P44" s="47"/>
      <c r="Q44" s="65" t="s">
        <v>20</v>
      </c>
      <c r="R44" s="88"/>
      <c r="S44" s="67" t="s">
        <v>161</v>
      </c>
      <c r="T44" s="47"/>
      <c r="U44" s="47"/>
      <c r="V44" s="47"/>
      <c r="W44" s="47"/>
      <c r="X44" s="47"/>
      <c r="Z44" s="65" t="s">
        <v>163</v>
      </c>
    </row>
    <row r="45" spans="1:48" ht="15.75" x14ac:dyDescent="0.25">
      <c r="A45" s="71">
        <v>44</v>
      </c>
      <c r="B45" s="129" t="s">
        <v>80</v>
      </c>
      <c r="C45" s="129" t="s">
        <v>5</v>
      </c>
      <c r="D45" s="71">
        <v>4</v>
      </c>
      <c r="E45" s="109" t="s">
        <v>116</v>
      </c>
      <c r="F45" s="73">
        <v>45379</v>
      </c>
      <c r="G45" s="74">
        <v>0.74083333333333334</v>
      </c>
      <c r="H45" s="74">
        <v>0.78945601851851854</v>
      </c>
      <c r="I45" s="75">
        <f>H45-G45</f>
        <v>4.8622685185185199E-2</v>
      </c>
      <c r="J45" s="72"/>
      <c r="K45" s="76">
        <v>0.73958333333333337</v>
      </c>
      <c r="L45" s="76"/>
      <c r="M45" s="71" t="s">
        <v>23</v>
      </c>
      <c r="N45" s="71" t="s">
        <v>23</v>
      </c>
      <c r="O45" s="71" t="s">
        <v>23</v>
      </c>
      <c r="P45" s="72"/>
      <c r="Q45" s="65" t="s">
        <v>20</v>
      </c>
      <c r="R45" s="88"/>
      <c r="S45" s="67" t="s">
        <v>161</v>
      </c>
      <c r="T45" s="47"/>
      <c r="U45" s="47"/>
      <c r="V45" s="47"/>
      <c r="W45" s="47"/>
      <c r="X45" s="47"/>
      <c r="Z45" s="65" t="s">
        <v>164</v>
      </c>
    </row>
    <row r="46" spans="1:48" ht="15.75" x14ac:dyDescent="0.25">
      <c r="A46" s="25">
        <v>45</v>
      </c>
      <c r="B46" s="26" t="s">
        <v>80</v>
      </c>
      <c r="C46" s="26" t="s">
        <v>85</v>
      </c>
      <c r="D46" s="25">
        <v>1</v>
      </c>
      <c r="E46" s="109" t="s">
        <v>116</v>
      </c>
      <c r="F46" s="73">
        <v>45383</v>
      </c>
      <c r="G46" s="28">
        <v>0.42848379629629635</v>
      </c>
      <c r="H46" s="28">
        <v>0.45171296296296298</v>
      </c>
      <c r="I46" s="130">
        <f>H46-G46</f>
        <v>2.3229166666666634E-2</v>
      </c>
      <c r="J46" s="26"/>
      <c r="K46" s="30">
        <v>0.42708333333333331</v>
      </c>
      <c r="L46" s="30"/>
      <c r="M46" s="25" t="s">
        <v>23</v>
      </c>
      <c r="N46" s="25" t="s">
        <v>23</v>
      </c>
      <c r="O46" s="25" t="s">
        <v>23</v>
      </c>
      <c r="Q46" s="13" t="s">
        <v>20</v>
      </c>
      <c r="R46" s="47" t="s">
        <v>166</v>
      </c>
      <c r="S46" s="67" t="s">
        <v>161</v>
      </c>
      <c r="Z46" s="65" t="s">
        <v>165</v>
      </c>
    </row>
    <row r="47" spans="1:48" ht="15.75" x14ac:dyDescent="0.25">
      <c r="A47" s="18">
        <v>46</v>
      </c>
      <c r="B47" s="135" t="s">
        <v>80</v>
      </c>
      <c r="C47" s="136" t="s">
        <v>167</v>
      </c>
      <c r="D47" s="18">
        <v>1</v>
      </c>
      <c r="E47" s="99" t="s">
        <v>116</v>
      </c>
      <c r="F47" s="131">
        <v>45383</v>
      </c>
      <c r="G47" s="132">
        <v>0.61464120370370368</v>
      </c>
      <c r="H47" s="132">
        <v>0.65651620370370367</v>
      </c>
      <c r="I47" s="133">
        <f>H47-G47</f>
        <v>4.1874999999999996E-2</v>
      </c>
      <c r="J47" s="16"/>
      <c r="K47" s="134">
        <v>0.61458333333333337</v>
      </c>
      <c r="L47" s="134"/>
      <c r="M47" s="18" t="s">
        <v>23</v>
      </c>
      <c r="N47" s="18" t="s">
        <v>23</v>
      </c>
      <c r="O47" s="18" t="s">
        <v>23</v>
      </c>
      <c r="P47" s="16"/>
      <c r="Q47" s="14" t="s">
        <v>17</v>
      </c>
      <c r="R47" s="47" t="s">
        <v>168</v>
      </c>
      <c r="S47" s="67" t="s">
        <v>161</v>
      </c>
      <c r="Z47" s="111" t="s">
        <v>169</v>
      </c>
    </row>
    <row r="48" spans="1:48" ht="15.75" x14ac:dyDescent="0.25">
      <c r="A48" s="18">
        <v>47</v>
      </c>
      <c r="B48" s="135" t="s">
        <v>80</v>
      </c>
      <c r="C48" s="135" t="s">
        <v>170</v>
      </c>
      <c r="D48" s="18">
        <v>1</v>
      </c>
      <c r="E48" s="99" t="s">
        <v>116</v>
      </c>
      <c r="F48" s="131">
        <v>45383</v>
      </c>
      <c r="G48" s="132"/>
      <c r="H48" s="132"/>
      <c r="I48" s="133"/>
      <c r="J48" s="16"/>
      <c r="K48" s="134">
        <v>0.75</v>
      </c>
      <c r="L48" s="134"/>
      <c r="M48" s="18" t="s">
        <v>23</v>
      </c>
      <c r="N48" s="18" t="s">
        <v>23</v>
      </c>
      <c r="O48" s="18" t="s">
        <v>23</v>
      </c>
      <c r="P48" s="16"/>
      <c r="Q48" s="14" t="s">
        <v>17</v>
      </c>
      <c r="R48" s="47" t="s">
        <v>173</v>
      </c>
      <c r="S48" s="67" t="s">
        <v>161</v>
      </c>
      <c r="Z48" s="65"/>
    </row>
    <row r="49" spans="1:36" ht="15.75" x14ac:dyDescent="0.25">
      <c r="A49" s="138"/>
      <c r="B49" s="139" t="s">
        <v>80</v>
      </c>
      <c r="C49" s="139" t="s">
        <v>171</v>
      </c>
      <c r="D49" s="138"/>
      <c r="E49" s="140"/>
      <c r="F49" s="141"/>
      <c r="G49" s="142"/>
      <c r="H49" s="142"/>
      <c r="I49" s="143"/>
      <c r="J49" s="139"/>
      <c r="K49" s="144"/>
      <c r="L49" s="144"/>
      <c r="M49" s="138" t="s">
        <v>23</v>
      </c>
      <c r="N49" s="138" t="s">
        <v>23</v>
      </c>
      <c r="O49" s="138" t="s">
        <v>23</v>
      </c>
      <c r="P49" s="139"/>
      <c r="Q49" s="82"/>
      <c r="R49" s="88" t="s">
        <v>172</v>
      </c>
      <c r="S49" s="67"/>
      <c r="Z49" s="65"/>
    </row>
    <row r="50" spans="1:36" ht="15.75" x14ac:dyDescent="0.25">
      <c r="A50" s="48">
        <v>48</v>
      </c>
      <c r="B50" s="2" t="s">
        <v>91</v>
      </c>
      <c r="C50" s="2" t="s">
        <v>5</v>
      </c>
      <c r="D50" s="48">
        <v>2</v>
      </c>
      <c r="E50" s="99" t="s">
        <v>116</v>
      </c>
      <c r="F50" s="131">
        <v>45383</v>
      </c>
      <c r="G50" s="84">
        <v>0.83347222222222228</v>
      </c>
      <c r="H50" s="84">
        <v>0.88217592592592586</v>
      </c>
      <c r="I50" s="85">
        <f t="shared" ref="I50:I55" si="5">H50-G50</f>
        <v>4.8703703703703582E-2</v>
      </c>
      <c r="J50" s="47"/>
      <c r="K50" s="86">
        <v>0.82986111111111116</v>
      </c>
      <c r="L50" s="86">
        <v>0.88541666666666663</v>
      </c>
      <c r="M50" s="18" t="s">
        <v>49</v>
      </c>
      <c r="N50" s="18" t="s">
        <v>49</v>
      </c>
      <c r="O50" s="18" t="s">
        <v>49</v>
      </c>
      <c r="P50" s="47"/>
      <c r="Q50" s="127"/>
      <c r="R50" s="88"/>
      <c r="S50" s="67" t="s">
        <v>174</v>
      </c>
      <c r="T50" s="47"/>
      <c r="U50" s="47"/>
      <c r="V50" s="47"/>
      <c r="W50" s="47"/>
      <c r="X50" s="47"/>
      <c r="Z50" s="13" t="s">
        <v>100</v>
      </c>
    </row>
    <row r="51" spans="1:36" ht="15.75" x14ac:dyDescent="0.25">
      <c r="A51" s="149">
        <v>49</v>
      </c>
      <c r="B51" s="150" t="s">
        <v>80</v>
      </c>
      <c r="C51" s="150" t="s">
        <v>167</v>
      </c>
      <c r="D51" s="149">
        <v>2</v>
      </c>
      <c r="E51" s="108" t="s">
        <v>116</v>
      </c>
      <c r="F51" s="151">
        <v>45384</v>
      </c>
      <c r="G51" s="152">
        <v>0.41728009259259258</v>
      </c>
      <c r="H51" s="152">
        <v>0.4591898148148148</v>
      </c>
      <c r="I51" s="153">
        <f t="shared" si="5"/>
        <v>4.1909722222222223E-2</v>
      </c>
      <c r="J51" s="110"/>
      <c r="K51" s="154">
        <v>0.41666666666666669</v>
      </c>
      <c r="L51" s="154"/>
      <c r="M51" s="32" t="s">
        <v>49</v>
      </c>
      <c r="N51" s="32" t="s">
        <v>49</v>
      </c>
      <c r="O51" s="32" t="s">
        <v>49</v>
      </c>
      <c r="P51" s="110"/>
      <c r="Q51" s="63" t="s">
        <v>17</v>
      </c>
      <c r="R51" s="22"/>
      <c r="S51" s="70" t="s">
        <v>161</v>
      </c>
      <c r="T51" s="22"/>
      <c r="U51" s="22"/>
      <c r="V51" s="22"/>
      <c r="W51" s="22"/>
      <c r="X51" s="22"/>
      <c r="Z51" s="127" t="s">
        <v>225</v>
      </c>
    </row>
    <row r="52" spans="1:36" ht="15.75" x14ac:dyDescent="0.25">
      <c r="A52" s="148">
        <v>50</v>
      </c>
      <c r="B52" s="146" t="s">
        <v>80</v>
      </c>
      <c r="C52" s="147" t="s">
        <v>167</v>
      </c>
      <c r="D52" s="148">
        <v>3</v>
      </c>
      <c r="E52" s="99" t="s">
        <v>116</v>
      </c>
      <c r="F52" s="131">
        <v>45384</v>
      </c>
      <c r="G52" s="132">
        <v>0.46256944444444442</v>
      </c>
      <c r="H52" s="132">
        <v>0.50445601851851851</v>
      </c>
      <c r="I52" s="133">
        <f t="shared" si="5"/>
        <v>4.188657407407409E-2</v>
      </c>
      <c r="J52" s="16"/>
      <c r="K52" s="134"/>
      <c r="L52" s="134"/>
      <c r="M52" s="18" t="s">
        <v>49</v>
      </c>
      <c r="N52" s="18" t="s">
        <v>49</v>
      </c>
      <c r="O52" s="18" t="s">
        <v>49</v>
      </c>
      <c r="P52" s="16"/>
      <c r="Q52" s="14" t="s">
        <v>17</v>
      </c>
      <c r="R52" s="47"/>
      <c r="S52" s="67"/>
      <c r="Z52" s="65"/>
    </row>
    <row r="53" spans="1:36" ht="15.75" x14ac:dyDescent="0.25">
      <c r="A53" s="148">
        <v>51</v>
      </c>
      <c r="B53" s="146" t="s">
        <v>80</v>
      </c>
      <c r="C53" s="147" t="s">
        <v>167</v>
      </c>
      <c r="D53" s="148">
        <v>4</v>
      </c>
      <c r="E53" s="99" t="s">
        <v>116</v>
      </c>
      <c r="F53" s="131">
        <v>45384</v>
      </c>
      <c r="G53" s="132">
        <v>0.50680555555555562</v>
      </c>
      <c r="H53" s="132">
        <v>0.5486805555555555</v>
      </c>
      <c r="I53" s="133">
        <f t="shared" si="5"/>
        <v>4.1874999999999885E-2</v>
      </c>
      <c r="J53" s="16"/>
      <c r="K53" s="134"/>
      <c r="L53" s="134"/>
      <c r="M53" s="18" t="s">
        <v>49</v>
      </c>
      <c r="N53" s="18" t="s">
        <v>49</v>
      </c>
      <c r="O53" s="18" t="s">
        <v>49</v>
      </c>
      <c r="P53" s="16"/>
      <c r="Q53" s="14" t="s">
        <v>17</v>
      </c>
      <c r="R53" s="47"/>
      <c r="S53" s="67"/>
      <c r="Z53" s="65"/>
    </row>
    <row r="54" spans="1:36" ht="15.75" x14ac:dyDescent="0.25">
      <c r="A54" s="148">
        <v>52</v>
      </c>
      <c r="B54" s="146" t="s">
        <v>80</v>
      </c>
      <c r="C54" s="147" t="s">
        <v>167</v>
      </c>
      <c r="D54" s="148">
        <v>5</v>
      </c>
      <c r="E54" s="99" t="s">
        <v>116</v>
      </c>
      <c r="F54" s="131">
        <v>45384</v>
      </c>
      <c r="G54" s="132">
        <v>0.54946759259259259</v>
      </c>
      <c r="H54" s="132">
        <v>0.59136574074074078</v>
      </c>
      <c r="I54" s="133">
        <f t="shared" si="5"/>
        <v>4.1898148148148184E-2</v>
      </c>
      <c r="J54" s="16"/>
      <c r="K54" s="134"/>
      <c r="L54" s="134"/>
      <c r="M54" s="18" t="s">
        <v>49</v>
      </c>
      <c r="N54" s="18" t="s">
        <v>49</v>
      </c>
      <c r="O54" s="18" t="s">
        <v>49</v>
      </c>
      <c r="P54" s="16"/>
      <c r="Q54" s="14" t="s">
        <v>17</v>
      </c>
      <c r="R54" s="47"/>
      <c r="S54" s="67"/>
      <c r="Z54" s="65"/>
    </row>
    <row r="55" spans="1:36" ht="15.75" x14ac:dyDescent="0.25">
      <c r="A55" s="148">
        <v>53</v>
      </c>
      <c r="B55" s="146" t="s">
        <v>80</v>
      </c>
      <c r="C55" s="147" t="s">
        <v>167</v>
      </c>
      <c r="D55" s="148">
        <v>6</v>
      </c>
      <c r="E55" s="99" t="s">
        <v>116</v>
      </c>
      <c r="F55" s="131">
        <v>45384</v>
      </c>
      <c r="G55" s="132">
        <v>0.5917824074074074</v>
      </c>
      <c r="H55" s="132">
        <v>0.63368055555555558</v>
      </c>
      <c r="I55" s="133">
        <f t="shared" si="5"/>
        <v>4.1898148148148184E-2</v>
      </c>
      <c r="J55" s="16"/>
      <c r="K55" s="134"/>
      <c r="L55" s="134"/>
      <c r="M55" s="18" t="s">
        <v>49</v>
      </c>
      <c r="N55" s="18" t="s">
        <v>49</v>
      </c>
      <c r="O55" s="18" t="s">
        <v>49</v>
      </c>
      <c r="P55" s="16"/>
      <c r="Q55" s="14" t="s">
        <v>17</v>
      </c>
      <c r="R55" s="47"/>
      <c r="S55" s="67"/>
      <c r="Z55" s="65"/>
    </row>
    <row r="56" spans="1:36" ht="15.75" x14ac:dyDescent="0.25">
      <c r="A56" s="48">
        <v>54</v>
      </c>
      <c r="B56" s="67" t="s">
        <v>90</v>
      </c>
      <c r="C56" s="17" t="s">
        <v>5</v>
      </c>
      <c r="D56" s="48">
        <v>3</v>
      </c>
      <c r="E56" s="99" t="s">
        <v>116</v>
      </c>
      <c r="F56" s="131">
        <v>45384</v>
      </c>
      <c r="G56" s="84">
        <v>0.71327546296296296</v>
      </c>
      <c r="H56" s="84">
        <v>0.76192129629629635</v>
      </c>
      <c r="I56" s="85">
        <f t="shared" ref="I56:I63" si="6">H56-G56</f>
        <v>4.8645833333333388E-2</v>
      </c>
      <c r="J56" s="47"/>
      <c r="K56" s="86">
        <v>0.70833333333333337</v>
      </c>
      <c r="L56" s="86">
        <v>0.77083333333333337</v>
      </c>
      <c r="M56" s="18" t="s">
        <v>49</v>
      </c>
      <c r="N56" s="18" t="s">
        <v>49</v>
      </c>
      <c r="O56" s="18" t="s">
        <v>49</v>
      </c>
      <c r="P56" s="47"/>
      <c r="Q56" s="65" t="s">
        <v>20</v>
      </c>
      <c r="R56" s="88"/>
      <c r="S56" s="67" t="s">
        <v>110</v>
      </c>
      <c r="T56" s="47"/>
      <c r="U56" s="47"/>
      <c r="V56" s="47"/>
      <c r="W56" s="47"/>
      <c r="X56" s="47"/>
      <c r="Z56" s="65" t="s">
        <v>100</v>
      </c>
    </row>
    <row r="57" spans="1:36" ht="15.75" x14ac:dyDescent="0.25">
      <c r="A57" s="48">
        <v>55</v>
      </c>
      <c r="B57" s="67" t="s">
        <v>175</v>
      </c>
      <c r="C57" s="17" t="s">
        <v>4</v>
      </c>
      <c r="D57" s="48">
        <v>1</v>
      </c>
      <c r="E57" s="156" t="s">
        <v>176</v>
      </c>
      <c r="F57" s="131">
        <v>45387</v>
      </c>
      <c r="G57" s="84">
        <v>0.74138888888888888</v>
      </c>
      <c r="H57" s="84">
        <v>0.77285879629629628</v>
      </c>
      <c r="I57" s="85">
        <f t="shared" si="6"/>
        <v>3.1469907407407405E-2</v>
      </c>
      <c r="J57" s="47"/>
      <c r="K57" s="86">
        <v>0.73611111111111116</v>
      </c>
      <c r="L57" s="86">
        <v>0.77777777777777779</v>
      </c>
      <c r="M57" s="18" t="s">
        <v>49</v>
      </c>
      <c r="N57" s="18" t="s">
        <v>49</v>
      </c>
      <c r="O57" s="18" t="s">
        <v>178</v>
      </c>
      <c r="P57" s="47"/>
      <c r="Q57" s="14" t="s">
        <v>17</v>
      </c>
      <c r="R57" s="47" t="s">
        <v>180</v>
      </c>
      <c r="S57" s="67" t="s">
        <v>179</v>
      </c>
      <c r="T57" s="47"/>
      <c r="U57" s="47"/>
      <c r="V57" s="47"/>
      <c r="W57" s="47"/>
      <c r="X57" s="47"/>
      <c r="Z57" s="155" t="s">
        <v>177</v>
      </c>
    </row>
    <row r="58" spans="1:36" ht="15.75" x14ac:dyDescent="0.25">
      <c r="A58" s="48">
        <v>56</v>
      </c>
      <c r="B58" s="2" t="s">
        <v>1</v>
      </c>
      <c r="C58" s="2" t="s">
        <v>4</v>
      </c>
      <c r="D58" s="48">
        <v>4</v>
      </c>
      <c r="E58" s="99" t="s">
        <v>116</v>
      </c>
      <c r="F58" s="131">
        <v>45394</v>
      </c>
      <c r="G58" s="84">
        <v>0.48193287037037041</v>
      </c>
      <c r="H58" s="84">
        <v>0.53077546296296296</v>
      </c>
      <c r="I58" s="85">
        <f t="shared" si="6"/>
        <v>4.8842592592592549E-2</v>
      </c>
      <c r="J58" s="47"/>
      <c r="K58" s="86">
        <v>0.47916666666666669</v>
      </c>
      <c r="L58" s="86">
        <v>0.54166666666666663</v>
      </c>
      <c r="M58" s="18" t="s">
        <v>49</v>
      </c>
      <c r="N58" s="18" t="s">
        <v>49</v>
      </c>
      <c r="O58" s="18" t="s">
        <v>49</v>
      </c>
      <c r="P58" s="47"/>
      <c r="Q58" s="14"/>
      <c r="R58" s="47" t="s">
        <v>181</v>
      </c>
      <c r="S58" s="67" t="s">
        <v>182</v>
      </c>
      <c r="T58" s="47"/>
      <c r="U58" s="47"/>
      <c r="V58" s="47"/>
      <c r="W58" s="47"/>
      <c r="X58" s="47"/>
      <c r="Z58" s="155"/>
      <c r="AC58" s="1" t="s">
        <v>185</v>
      </c>
    </row>
    <row r="59" spans="1:36" ht="15.75" x14ac:dyDescent="0.25">
      <c r="A59" s="48">
        <v>57</v>
      </c>
      <c r="B59" s="1" t="s">
        <v>1</v>
      </c>
      <c r="C59" s="1" t="s">
        <v>5</v>
      </c>
      <c r="D59" s="48">
        <v>3</v>
      </c>
      <c r="E59" s="99" t="s">
        <v>116</v>
      </c>
      <c r="F59" s="131">
        <v>45394</v>
      </c>
      <c r="G59" s="84">
        <v>0.60513888888888889</v>
      </c>
      <c r="H59" s="84">
        <v>0.65374999999999994</v>
      </c>
      <c r="I59" s="85">
        <f t="shared" si="6"/>
        <v>4.8611111111111049E-2</v>
      </c>
      <c r="J59" s="47"/>
      <c r="K59" s="86">
        <v>0.60416666666666663</v>
      </c>
      <c r="L59" s="86">
        <v>0.65625</v>
      </c>
      <c r="M59" s="18" t="s">
        <v>49</v>
      </c>
      <c r="N59" s="18" t="s">
        <v>49</v>
      </c>
      <c r="O59" s="18" t="s">
        <v>49</v>
      </c>
      <c r="P59" s="47"/>
      <c r="Q59" s="14"/>
      <c r="R59" s="47" t="s">
        <v>181</v>
      </c>
      <c r="S59" s="67" t="s">
        <v>183</v>
      </c>
      <c r="T59" s="47"/>
      <c r="U59" s="47"/>
      <c r="V59" s="47"/>
      <c r="W59" s="47"/>
      <c r="X59" s="47"/>
      <c r="Z59" s="65" t="s">
        <v>100</v>
      </c>
      <c r="AC59" s="1" t="s">
        <v>185</v>
      </c>
    </row>
    <row r="60" spans="1:36" ht="15.75" x14ac:dyDescent="0.25">
      <c r="A60" s="48">
        <v>58</v>
      </c>
      <c r="B60" s="1" t="s">
        <v>1</v>
      </c>
      <c r="C60" s="1" t="s">
        <v>5</v>
      </c>
      <c r="D60" s="48">
        <v>4</v>
      </c>
      <c r="E60" s="99" t="s">
        <v>116</v>
      </c>
      <c r="F60" s="131">
        <v>45397</v>
      </c>
      <c r="G60" s="84">
        <v>0.71491898148148147</v>
      </c>
      <c r="H60" s="84">
        <v>0.76355324074074071</v>
      </c>
      <c r="I60" s="85">
        <f t="shared" si="6"/>
        <v>4.8634259259259238E-2</v>
      </c>
      <c r="J60" s="47"/>
      <c r="K60" s="86">
        <v>0.70833333333333337</v>
      </c>
      <c r="L60" s="86">
        <v>0.76388888888888884</v>
      </c>
      <c r="M60" s="18" t="s">
        <v>49</v>
      </c>
      <c r="N60" s="18" t="s">
        <v>49</v>
      </c>
      <c r="O60" s="18" t="s">
        <v>49</v>
      </c>
      <c r="P60" s="47"/>
      <c r="Q60" s="13" t="s">
        <v>20</v>
      </c>
      <c r="R60" s="47" t="s">
        <v>184</v>
      </c>
      <c r="S60" s="67" t="s">
        <v>188</v>
      </c>
      <c r="T60" s="47"/>
      <c r="U60" s="47"/>
      <c r="V60" s="47"/>
      <c r="W60" s="47"/>
      <c r="X60" s="47"/>
      <c r="Z60" s="65" t="s">
        <v>100</v>
      </c>
      <c r="AC60" s="1" t="s">
        <v>185</v>
      </c>
      <c r="AJ60" s="2" t="s">
        <v>186</v>
      </c>
    </row>
    <row r="61" spans="1:36" ht="15.75" x14ac:dyDescent="0.25">
      <c r="A61" s="21">
        <v>59</v>
      </c>
      <c r="B61" s="70" t="s">
        <v>1</v>
      </c>
      <c r="C61" s="70" t="s">
        <v>5</v>
      </c>
      <c r="D61" s="21">
        <v>5</v>
      </c>
      <c r="E61" s="108" t="s">
        <v>116</v>
      </c>
      <c r="F61" s="151">
        <v>45399</v>
      </c>
      <c r="G61" s="34">
        <v>0.63203703703703706</v>
      </c>
      <c r="H61" s="34">
        <v>0.6806712962962963</v>
      </c>
      <c r="I61" s="83">
        <f t="shared" si="6"/>
        <v>4.8634259259259238E-2</v>
      </c>
      <c r="J61" s="22"/>
      <c r="K61" s="36">
        <v>0.625</v>
      </c>
      <c r="L61" s="36">
        <v>0.6875</v>
      </c>
      <c r="M61" s="32" t="s">
        <v>49</v>
      </c>
      <c r="N61" s="32" t="s">
        <v>49</v>
      </c>
      <c r="O61" s="32" t="s">
        <v>49</v>
      </c>
      <c r="P61" s="22"/>
      <c r="Q61" s="158" t="s">
        <v>17</v>
      </c>
      <c r="R61" s="22" t="s">
        <v>187</v>
      </c>
      <c r="S61" s="70" t="s">
        <v>193</v>
      </c>
      <c r="T61" s="22"/>
      <c r="U61" s="22"/>
      <c r="V61" s="22"/>
      <c r="W61" s="22"/>
      <c r="X61" s="22"/>
      <c r="Z61" s="13" t="s">
        <v>189</v>
      </c>
      <c r="AD61" s="65"/>
      <c r="AJ61" s="2"/>
    </row>
    <row r="62" spans="1:36" ht="15.75" x14ac:dyDescent="0.25">
      <c r="A62" s="48">
        <v>60</v>
      </c>
      <c r="B62" s="67" t="s">
        <v>1</v>
      </c>
      <c r="C62" s="67" t="s">
        <v>5</v>
      </c>
      <c r="D62" s="48">
        <v>6</v>
      </c>
      <c r="E62" s="99" t="s">
        <v>116</v>
      </c>
      <c r="F62" s="131">
        <v>45399</v>
      </c>
      <c r="G62" s="84">
        <v>0.70067129629629632</v>
      </c>
      <c r="H62" s="84">
        <v>0.74929398148148152</v>
      </c>
      <c r="I62" s="85">
        <f t="shared" si="6"/>
        <v>4.8622685185185199E-2</v>
      </c>
      <c r="J62" s="47"/>
      <c r="K62" s="86">
        <v>0.69791666666666663</v>
      </c>
      <c r="L62" s="86">
        <v>0.75</v>
      </c>
      <c r="M62" s="87" t="s">
        <v>49</v>
      </c>
      <c r="N62" s="87" t="s">
        <v>49</v>
      </c>
      <c r="O62" s="87" t="s">
        <v>49</v>
      </c>
      <c r="P62" s="47"/>
      <c r="Q62" s="111" t="s">
        <v>17</v>
      </c>
      <c r="R62" s="47" t="s">
        <v>190</v>
      </c>
      <c r="S62" s="67" t="s">
        <v>195</v>
      </c>
      <c r="T62" s="47"/>
      <c r="U62" s="47"/>
      <c r="V62" s="47"/>
      <c r="W62" s="47"/>
      <c r="X62" s="47"/>
      <c r="Z62" s="13"/>
      <c r="AJ62" s="2"/>
    </row>
    <row r="63" spans="1:36" ht="15.75" x14ac:dyDescent="0.25">
      <c r="A63" s="48">
        <v>61</v>
      </c>
      <c r="B63" s="2" t="s">
        <v>91</v>
      </c>
      <c r="C63" s="2" t="s">
        <v>5</v>
      </c>
      <c r="D63" s="48">
        <v>3</v>
      </c>
      <c r="E63" s="99" t="s">
        <v>116</v>
      </c>
      <c r="F63" s="131">
        <v>45400</v>
      </c>
      <c r="G63" s="84">
        <v>0.44325231481481481</v>
      </c>
      <c r="H63" s="84">
        <v>0.49190972222222223</v>
      </c>
      <c r="I63" s="85">
        <f t="shared" si="6"/>
        <v>4.8657407407407427E-2</v>
      </c>
      <c r="J63" s="47"/>
      <c r="K63" s="86">
        <v>0.4375</v>
      </c>
      <c r="L63" s="86">
        <v>0.5</v>
      </c>
      <c r="M63" s="87" t="s">
        <v>49</v>
      </c>
      <c r="N63" s="87" t="s">
        <v>49</v>
      </c>
      <c r="O63" s="87" t="s">
        <v>49</v>
      </c>
      <c r="P63" s="47"/>
      <c r="Q63" s="111" t="s">
        <v>17</v>
      </c>
      <c r="R63" s="47"/>
      <c r="S63" s="67" t="s">
        <v>194</v>
      </c>
      <c r="T63" s="47"/>
      <c r="U63" s="47"/>
      <c r="V63" s="47"/>
      <c r="W63" s="47"/>
      <c r="X63" s="47"/>
      <c r="Z63" s="13"/>
      <c r="AJ63" s="2"/>
    </row>
    <row r="64" spans="1:36" ht="15.75" x14ac:dyDescent="0.25">
      <c r="A64" s="48">
        <v>62</v>
      </c>
      <c r="B64" s="67" t="s">
        <v>90</v>
      </c>
      <c r="C64" s="17" t="s">
        <v>5</v>
      </c>
      <c r="D64" s="48">
        <v>4</v>
      </c>
      <c r="E64" s="99" t="s">
        <v>116</v>
      </c>
      <c r="F64" s="131">
        <v>45400</v>
      </c>
      <c r="G64" s="7">
        <v>0.61783564814814818</v>
      </c>
      <c r="H64" s="84">
        <v>0.66651620370370368</v>
      </c>
      <c r="I64" s="85">
        <f t="shared" ref="I64:I69" si="7">H64-G64</f>
        <v>4.8680555555555505E-2</v>
      </c>
      <c r="J64" s="47"/>
      <c r="K64" s="84">
        <v>0.61458333333333337</v>
      </c>
      <c r="L64" s="86">
        <v>0.66666666666666663</v>
      </c>
      <c r="M64" s="87" t="s">
        <v>49</v>
      </c>
      <c r="N64" s="87" t="s">
        <v>49</v>
      </c>
      <c r="O64" s="87" t="s">
        <v>49</v>
      </c>
      <c r="P64" s="47"/>
      <c r="Q64" s="111" t="s">
        <v>17</v>
      </c>
      <c r="R64" s="47"/>
      <c r="S64" s="67" t="s">
        <v>196</v>
      </c>
      <c r="T64" s="47"/>
      <c r="U64" s="47"/>
      <c r="V64" s="47"/>
      <c r="W64" s="47"/>
      <c r="X64" s="47"/>
      <c r="Z64" s="13"/>
      <c r="AJ64" s="2"/>
    </row>
    <row r="65" spans="1:36" ht="15.75" x14ac:dyDescent="0.25">
      <c r="A65" s="48">
        <v>63</v>
      </c>
      <c r="B65" s="67" t="s">
        <v>90</v>
      </c>
      <c r="C65" s="17" t="s">
        <v>85</v>
      </c>
      <c r="D65" s="48">
        <v>1</v>
      </c>
      <c r="E65" s="99" t="s">
        <v>116</v>
      </c>
      <c r="F65" s="131">
        <v>45401</v>
      </c>
      <c r="G65" s="7">
        <v>0.4589699074074074</v>
      </c>
      <c r="H65" s="84">
        <v>0.48336805555555556</v>
      </c>
      <c r="I65" s="85">
        <f t="shared" si="7"/>
        <v>2.4398148148148169E-2</v>
      </c>
      <c r="J65" s="47"/>
      <c r="K65" s="84">
        <v>0.4548611111111111</v>
      </c>
      <c r="L65" s="86">
        <v>0.4861111111111111</v>
      </c>
      <c r="M65" s="87" t="s">
        <v>49</v>
      </c>
      <c r="N65" s="87" t="s">
        <v>49</v>
      </c>
      <c r="O65" s="87" t="s">
        <v>49</v>
      </c>
      <c r="P65" s="47"/>
      <c r="Q65" s="111" t="s">
        <v>17</v>
      </c>
      <c r="R65" s="47" t="s">
        <v>191</v>
      </c>
      <c r="S65" s="67" t="s">
        <v>197</v>
      </c>
      <c r="T65" s="47"/>
      <c r="U65" s="47"/>
      <c r="V65" s="47"/>
      <c r="W65" s="47"/>
      <c r="X65" s="47"/>
      <c r="Z65" s="13"/>
      <c r="AJ65" s="2"/>
    </row>
    <row r="66" spans="1:36" ht="15.75" x14ac:dyDescent="0.25">
      <c r="A66" s="48">
        <v>64</v>
      </c>
      <c r="B66" s="67" t="s">
        <v>90</v>
      </c>
      <c r="C66" s="17" t="s">
        <v>167</v>
      </c>
      <c r="D66" s="48">
        <v>1</v>
      </c>
      <c r="E66" s="99" t="s">
        <v>116</v>
      </c>
      <c r="F66" s="131">
        <v>45401</v>
      </c>
      <c r="G66" s="7">
        <v>0.51150462962962961</v>
      </c>
      <c r="H66" s="84">
        <v>0.52554398148148151</v>
      </c>
      <c r="I66" s="85">
        <f t="shared" si="7"/>
        <v>1.40393518518519E-2</v>
      </c>
      <c r="J66" s="47"/>
      <c r="K66" s="84">
        <v>0.50694444444444442</v>
      </c>
      <c r="L66" s="86">
        <v>0.53125</v>
      </c>
      <c r="M66" s="87" t="s">
        <v>49</v>
      </c>
      <c r="N66" s="87" t="s">
        <v>49</v>
      </c>
      <c r="O66" s="87" t="s">
        <v>49</v>
      </c>
      <c r="P66" s="47"/>
      <c r="Q66" s="159" t="s">
        <v>20</v>
      </c>
      <c r="R66" s="47" t="s">
        <v>192</v>
      </c>
      <c r="S66" s="67" t="s">
        <v>198</v>
      </c>
      <c r="T66" s="47"/>
      <c r="U66" s="47"/>
      <c r="V66" s="47"/>
      <c r="W66" s="47"/>
      <c r="X66" s="47"/>
      <c r="Z66" s="13"/>
      <c r="AJ66" s="2"/>
    </row>
    <row r="67" spans="1:36" ht="15.75" x14ac:dyDescent="0.25">
      <c r="A67" s="48">
        <v>65</v>
      </c>
      <c r="B67" s="67" t="s">
        <v>1</v>
      </c>
      <c r="C67" s="67" t="s">
        <v>85</v>
      </c>
      <c r="D67" s="48">
        <v>1</v>
      </c>
      <c r="E67" s="99" t="s">
        <v>116</v>
      </c>
      <c r="F67" s="131">
        <v>45405</v>
      </c>
      <c r="G67" s="7">
        <v>0.72851851851851857</v>
      </c>
      <c r="H67" s="84">
        <v>0.77712962962962961</v>
      </c>
      <c r="I67" s="85">
        <f t="shared" si="7"/>
        <v>4.8611111111111049E-2</v>
      </c>
      <c r="J67" s="47"/>
      <c r="K67" s="84">
        <v>0.72569444444444453</v>
      </c>
      <c r="L67" s="86">
        <v>0.78125</v>
      </c>
      <c r="M67" s="87" t="s">
        <v>49</v>
      </c>
      <c r="N67" s="87" t="s">
        <v>49</v>
      </c>
      <c r="O67" s="87" t="s">
        <v>49</v>
      </c>
      <c r="P67" s="47"/>
      <c r="Q67" s="111" t="s">
        <v>17</v>
      </c>
      <c r="R67" s="47" t="s">
        <v>199</v>
      </c>
      <c r="S67" s="67" t="s">
        <v>200</v>
      </c>
      <c r="T67" s="47"/>
      <c r="U67" s="47"/>
      <c r="V67" s="47"/>
      <c r="W67" s="47"/>
      <c r="X67" s="47"/>
      <c r="Z67" s="13"/>
      <c r="AJ67" s="2"/>
    </row>
    <row r="68" spans="1:36" ht="15.75" x14ac:dyDescent="0.25">
      <c r="A68" s="48">
        <v>66</v>
      </c>
      <c r="B68" s="67" t="s">
        <v>1</v>
      </c>
      <c r="C68" s="67" t="s">
        <v>167</v>
      </c>
      <c r="D68" s="48">
        <v>1</v>
      </c>
      <c r="E68" s="99" t="s">
        <v>116</v>
      </c>
      <c r="F68" s="131">
        <v>45407</v>
      </c>
      <c r="G68" s="7">
        <v>0.42582175925925925</v>
      </c>
      <c r="H68" s="84">
        <v>0.47444444444444445</v>
      </c>
      <c r="I68" s="85">
        <f t="shared" si="7"/>
        <v>4.8622685185185199E-2</v>
      </c>
      <c r="J68" s="47"/>
      <c r="K68" s="84">
        <v>0.41666666666666669</v>
      </c>
      <c r="L68" s="86">
        <v>0.47916666666666669</v>
      </c>
      <c r="M68" s="87" t="s">
        <v>49</v>
      </c>
      <c r="N68" s="87" t="s">
        <v>49</v>
      </c>
      <c r="O68" s="87" t="s">
        <v>49</v>
      </c>
      <c r="P68" s="47"/>
      <c r="Q68" s="111" t="s">
        <v>17</v>
      </c>
      <c r="R68" s="47" t="s">
        <v>201</v>
      </c>
      <c r="S68" s="67" t="s">
        <v>202</v>
      </c>
      <c r="T68" s="47"/>
      <c r="U68" s="47"/>
      <c r="V68" s="47"/>
      <c r="W68" s="47"/>
      <c r="X68" s="47"/>
      <c r="Z68" s="13"/>
      <c r="AJ68" s="2"/>
    </row>
    <row r="69" spans="1:36" ht="15.75" x14ac:dyDescent="0.25">
      <c r="A69" s="48">
        <v>67</v>
      </c>
      <c r="B69" s="2" t="s">
        <v>80</v>
      </c>
      <c r="C69" s="2" t="s">
        <v>85</v>
      </c>
      <c r="D69" s="48">
        <v>2</v>
      </c>
      <c r="E69" s="99" t="s">
        <v>116</v>
      </c>
      <c r="F69" s="131">
        <v>45407</v>
      </c>
      <c r="G69" s="7">
        <v>0.76670138888888895</v>
      </c>
      <c r="H69" s="84">
        <v>0.80837962962962961</v>
      </c>
      <c r="I69" s="85">
        <f t="shared" si="7"/>
        <v>4.1678240740740669E-2</v>
      </c>
      <c r="J69" s="47"/>
      <c r="K69" s="84">
        <v>0.76041666666666663</v>
      </c>
      <c r="L69" s="86">
        <v>0.8125</v>
      </c>
      <c r="M69" s="87" t="s">
        <v>49</v>
      </c>
      <c r="N69" s="87" t="s">
        <v>49</v>
      </c>
      <c r="O69" s="87" t="s">
        <v>49</v>
      </c>
      <c r="P69" s="47"/>
      <c r="Q69" s="111"/>
      <c r="R69" s="47"/>
      <c r="S69" s="67" t="s">
        <v>161</v>
      </c>
      <c r="T69" s="47"/>
      <c r="U69" s="47"/>
      <c r="V69" s="47"/>
      <c r="W69" s="47"/>
      <c r="X69" s="47"/>
      <c r="Z69" s="65" t="s">
        <v>220</v>
      </c>
      <c r="AJ69" s="2"/>
    </row>
    <row r="70" spans="1:36" ht="15.75" x14ac:dyDescent="0.25">
      <c r="A70" s="48">
        <v>68</v>
      </c>
      <c r="B70" s="2" t="s">
        <v>80</v>
      </c>
      <c r="C70" s="2" t="s">
        <v>167</v>
      </c>
      <c r="D70" s="48">
        <v>7</v>
      </c>
      <c r="E70" s="99" t="s">
        <v>116</v>
      </c>
      <c r="F70" s="131">
        <v>45402</v>
      </c>
      <c r="G70" s="7">
        <v>0.68440972222222218</v>
      </c>
      <c r="H70" s="84">
        <v>0.72630787037037037</v>
      </c>
      <c r="I70" s="85">
        <f>H70-G70</f>
        <v>4.1898148148148184E-2</v>
      </c>
      <c r="J70" s="47"/>
      <c r="K70" s="84">
        <v>0.68055555555555547</v>
      </c>
      <c r="L70" s="86">
        <v>0.72916666666666663</v>
      </c>
      <c r="M70" s="87" t="s">
        <v>49</v>
      </c>
      <c r="N70" s="87" t="s">
        <v>49</v>
      </c>
      <c r="O70" s="87" t="s">
        <v>49</v>
      </c>
      <c r="P70" s="47"/>
      <c r="Q70" s="111" t="s">
        <v>17</v>
      </c>
      <c r="R70" s="47" t="s">
        <v>221</v>
      </c>
      <c r="S70" s="67" t="s">
        <v>224</v>
      </c>
      <c r="T70" s="47"/>
      <c r="U70" s="47"/>
      <c r="V70" s="47"/>
      <c r="W70" s="47"/>
      <c r="X70" s="47"/>
      <c r="Z70" s="65"/>
      <c r="AJ70" s="2"/>
    </row>
    <row r="71" spans="1:36" ht="15.75" x14ac:dyDescent="0.25">
      <c r="A71" s="48">
        <v>69</v>
      </c>
      <c r="B71" s="2" t="s">
        <v>226</v>
      </c>
      <c r="C71" s="2" t="s">
        <v>3</v>
      </c>
      <c r="D71" s="48">
        <v>1</v>
      </c>
      <c r="E71" s="99" t="s">
        <v>116</v>
      </c>
      <c r="F71" s="131">
        <v>45413</v>
      </c>
      <c r="G71" s="7"/>
      <c r="H71" s="84"/>
      <c r="I71" s="85"/>
      <c r="J71" s="47"/>
      <c r="K71" s="84">
        <v>0.625</v>
      </c>
      <c r="L71" s="86"/>
      <c r="M71" s="87" t="s">
        <v>23</v>
      </c>
      <c r="N71" s="87" t="s">
        <v>23</v>
      </c>
      <c r="O71" s="87" t="s">
        <v>23</v>
      </c>
      <c r="P71" s="47"/>
      <c r="Q71" s="111"/>
      <c r="R71" s="1" t="s">
        <v>227</v>
      </c>
      <c r="S71" s="67"/>
      <c r="T71" s="47"/>
      <c r="U71" s="47"/>
      <c r="V71" s="47"/>
      <c r="W71" s="47"/>
      <c r="X71" s="47"/>
      <c r="Z71" s="65"/>
      <c r="AJ71" s="2"/>
    </row>
    <row r="72" spans="1:36" ht="15.75" x14ac:dyDescent="0.25">
      <c r="A72" s="48">
        <v>70</v>
      </c>
      <c r="B72" s="2" t="s">
        <v>226</v>
      </c>
      <c r="C72" s="2" t="s">
        <v>4</v>
      </c>
      <c r="D72" s="48">
        <v>1</v>
      </c>
      <c r="E72" s="99" t="s">
        <v>116</v>
      </c>
      <c r="F72" s="131">
        <v>45413</v>
      </c>
      <c r="G72" s="7"/>
      <c r="H72" s="84"/>
      <c r="I72" s="85"/>
      <c r="J72" s="47"/>
      <c r="K72" s="84"/>
      <c r="L72" s="86"/>
      <c r="M72" s="87" t="s">
        <v>23</v>
      </c>
      <c r="N72" s="87" t="s">
        <v>23</v>
      </c>
      <c r="O72" s="87" t="s">
        <v>23</v>
      </c>
      <c r="P72" s="47"/>
      <c r="Q72" s="111"/>
      <c r="R72" s="47" t="s">
        <v>228</v>
      </c>
      <c r="S72" s="67"/>
      <c r="T72" s="47"/>
      <c r="U72" s="47"/>
      <c r="V72" s="47"/>
      <c r="W72" s="47"/>
      <c r="X72" s="47"/>
      <c r="Z72" s="65"/>
      <c r="AJ72" s="2"/>
    </row>
    <row r="73" spans="1:36" ht="15.75" x14ac:dyDescent="0.25">
      <c r="A73" s="48">
        <v>71</v>
      </c>
      <c r="B73" s="2" t="s">
        <v>226</v>
      </c>
      <c r="C73" s="2" t="s">
        <v>5</v>
      </c>
      <c r="D73" s="48">
        <v>1</v>
      </c>
      <c r="E73" s="99" t="s">
        <v>116</v>
      </c>
      <c r="F73" s="131">
        <v>45413</v>
      </c>
      <c r="G73" s="7"/>
      <c r="H73" s="84"/>
      <c r="I73" s="85"/>
      <c r="J73" s="47"/>
      <c r="K73" s="84">
        <v>0.69791666666666663</v>
      </c>
      <c r="L73" s="86"/>
      <c r="M73" s="87" t="s">
        <v>23</v>
      </c>
      <c r="N73" s="87" t="s">
        <v>23</v>
      </c>
      <c r="O73" s="87" t="s">
        <v>23</v>
      </c>
      <c r="P73" s="47"/>
      <c r="Q73" s="111"/>
      <c r="R73" s="47" t="s">
        <v>229</v>
      </c>
      <c r="S73" s="67"/>
      <c r="T73" s="47"/>
      <c r="U73" s="47"/>
      <c r="V73" s="47"/>
      <c r="W73" s="47"/>
      <c r="X73" s="47"/>
      <c r="Z73" s="65"/>
      <c r="AJ73" s="2"/>
    </row>
    <row r="74" spans="1:36" ht="16.5" thickBot="1" x14ac:dyDescent="0.3">
      <c r="A74" s="48"/>
      <c r="B74" s="13"/>
      <c r="C74" s="2"/>
      <c r="D74" s="48"/>
      <c r="E74" s="99"/>
      <c r="F74" s="69"/>
      <c r="G74" s="84"/>
      <c r="H74" s="84"/>
      <c r="I74" s="85"/>
      <c r="J74" s="47"/>
      <c r="K74" s="86"/>
      <c r="L74" s="86"/>
      <c r="M74" s="87"/>
      <c r="N74" s="87"/>
      <c r="O74" s="87"/>
      <c r="P74" s="47"/>
      <c r="Q74" s="127"/>
      <c r="R74" s="88"/>
      <c r="S74" s="67"/>
      <c r="T74" s="47"/>
      <c r="U74" s="47"/>
      <c r="V74" s="47"/>
      <c r="W74" s="47"/>
      <c r="X74" s="47"/>
      <c r="Z74" s="65"/>
    </row>
    <row r="75" spans="1:36" ht="16.5" thickBot="1" x14ac:dyDescent="0.3">
      <c r="F75" s="6"/>
      <c r="I75" s="62">
        <f>SUM(I2:I74)</f>
        <v>2.554560185185184</v>
      </c>
      <c r="K75" s="10"/>
      <c r="L75" s="10"/>
      <c r="M75" s="18"/>
      <c r="N75" s="18"/>
      <c r="O75" s="18"/>
    </row>
    <row r="76" spans="1:36" x14ac:dyDescent="0.2">
      <c r="I76" s="58"/>
      <c r="M76" s="18"/>
      <c r="N76" s="18"/>
      <c r="O76" s="18"/>
      <c r="R76" s="20"/>
    </row>
    <row r="77" spans="1:36" ht="15.75" thickBot="1" x14ac:dyDescent="0.25"/>
    <row r="78" spans="1:36" ht="15.75" x14ac:dyDescent="0.25">
      <c r="B78" s="41" t="s">
        <v>54</v>
      </c>
      <c r="C78" s="42"/>
      <c r="D78" s="43"/>
      <c r="E78" s="43"/>
      <c r="F78" s="44"/>
      <c r="G78" s="44"/>
      <c r="H78" s="44"/>
      <c r="I78" s="42"/>
      <c r="J78" s="45"/>
    </row>
    <row r="79" spans="1:36" ht="15.75" x14ac:dyDescent="0.25">
      <c r="B79" s="46"/>
      <c r="C79" s="47"/>
      <c r="D79" s="48"/>
      <c r="E79" s="48"/>
      <c r="F79" s="49"/>
      <c r="G79" s="49"/>
      <c r="H79" s="49"/>
      <c r="I79" s="47"/>
      <c r="J79" s="50"/>
    </row>
    <row r="80" spans="1:36" x14ac:dyDescent="0.2">
      <c r="B80" s="51" t="s">
        <v>55</v>
      </c>
      <c r="C80" s="47"/>
      <c r="D80" s="48"/>
      <c r="E80" s="48"/>
      <c r="F80" s="49"/>
      <c r="G80" s="49"/>
      <c r="H80" s="49"/>
      <c r="I80" s="47"/>
      <c r="J80" s="50"/>
    </row>
    <row r="81" spans="2:14" ht="15.75" x14ac:dyDescent="0.25">
      <c r="B81" s="173" t="s">
        <v>203</v>
      </c>
      <c r="C81" s="47"/>
      <c r="D81" s="48"/>
      <c r="E81" s="48"/>
      <c r="F81" s="49"/>
      <c r="G81" s="49"/>
      <c r="H81" s="49"/>
      <c r="I81" s="47"/>
      <c r="J81" s="50"/>
    </row>
    <row r="82" spans="2:14" ht="15.75" x14ac:dyDescent="0.25">
      <c r="B82" s="52" t="s">
        <v>204</v>
      </c>
      <c r="C82" s="47"/>
      <c r="D82" s="48"/>
      <c r="E82" s="48"/>
      <c r="F82" s="49"/>
      <c r="G82" s="49"/>
      <c r="H82" s="49"/>
      <c r="I82" s="47"/>
      <c r="J82" s="50"/>
    </row>
    <row r="83" spans="2:14" x14ac:dyDescent="0.2">
      <c r="B83" s="52" t="s">
        <v>205</v>
      </c>
      <c r="C83" s="47"/>
      <c r="D83" s="48"/>
      <c r="E83" s="48"/>
      <c r="F83" s="49"/>
      <c r="G83" s="49"/>
      <c r="H83" s="49"/>
      <c r="I83" s="47"/>
      <c r="J83" s="50"/>
      <c r="K83" s="59" t="s">
        <v>206</v>
      </c>
    </row>
    <row r="84" spans="2:14" x14ac:dyDescent="0.2">
      <c r="B84" s="52" t="s">
        <v>81</v>
      </c>
      <c r="C84" s="47"/>
      <c r="D84" s="48"/>
      <c r="E84" s="48"/>
      <c r="F84" s="49"/>
      <c r="G84" s="49"/>
      <c r="H84" s="49"/>
      <c r="I84" s="47"/>
      <c r="J84" s="50"/>
    </row>
    <row r="85" spans="2:14" x14ac:dyDescent="0.2">
      <c r="B85" s="51" t="s">
        <v>84</v>
      </c>
      <c r="C85" s="47"/>
      <c r="D85" s="48"/>
      <c r="E85" s="48"/>
      <c r="F85" s="49"/>
      <c r="G85" s="49"/>
      <c r="H85" s="49"/>
      <c r="I85" s="47"/>
      <c r="J85" s="50"/>
    </row>
    <row r="86" spans="2:14" ht="15.75" x14ac:dyDescent="0.25">
      <c r="B86" s="64" t="s">
        <v>88</v>
      </c>
      <c r="C86" s="65"/>
      <c r="D86" s="48"/>
      <c r="E86" s="48"/>
      <c r="F86" s="49"/>
      <c r="G86" s="49"/>
      <c r="H86" s="49"/>
      <c r="I86" s="47"/>
      <c r="J86" s="50"/>
    </row>
    <row r="87" spans="2:14" ht="15.75" x14ac:dyDescent="0.25">
      <c r="B87" s="78" t="s">
        <v>222</v>
      </c>
      <c r="C87" s="65"/>
      <c r="D87" s="48"/>
      <c r="E87" s="48"/>
      <c r="F87" s="49"/>
      <c r="G87" s="49"/>
      <c r="H87" s="49"/>
      <c r="I87" s="47"/>
      <c r="J87" s="50"/>
    </row>
    <row r="88" spans="2:14" ht="15.75" x14ac:dyDescent="0.25">
      <c r="B88" s="78" t="s">
        <v>223</v>
      </c>
      <c r="C88" s="65"/>
      <c r="D88" s="48"/>
      <c r="E88" s="48"/>
      <c r="F88" s="49"/>
      <c r="G88" s="49"/>
      <c r="H88" s="49"/>
      <c r="I88" s="47"/>
      <c r="J88" s="50"/>
    </row>
    <row r="89" spans="2:14" x14ac:dyDescent="0.2">
      <c r="B89" s="51" t="s">
        <v>207</v>
      </c>
      <c r="C89" s="47"/>
      <c r="D89" s="48"/>
      <c r="E89" s="48"/>
      <c r="F89" s="49"/>
      <c r="G89" s="49"/>
      <c r="H89" s="49"/>
      <c r="I89" s="47"/>
      <c r="J89" s="50"/>
    </row>
    <row r="90" spans="2:14" ht="16.5" thickBot="1" x14ac:dyDescent="0.3">
      <c r="B90" s="66" t="s">
        <v>89</v>
      </c>
      <c r="C90" s="53"/>
      <c r="D90" s="54"/>
      <c r="E90" s="54"/>
      <c r="F90" s="55"/>
      <c r="G90" s="55"/>
      <c r="H90" s="55"/>
      <c r="I90" s="53"/>
      <c r="J90" s="56"/>
    </row>
    <row r="92" spans="2:14" x14ac:dyDescent="0.2">
      <c r="B92" s="1" t="s">
        <v>208</v>
      </c>
    </row>
    <row r="93" spans="2:14" ht="15.75" thickBot="1" x14ac:dyDescent="0.25"/>
    <row r="94" spans="2:14" x14ac:dyDescent="0.2">
      <c r="B94" s="161" t="s">
        <v>57</v>
      </c>
      <c r="C94" s="42"/>
      <c r="D94" s="43"/>
      <c r="E94" s="43"/>
      <c r="F94" s="44"/>
      <c r="G94" s="44"/>
      <c r="H94" s="44"/>
      <c r="I94" s="42"/>
      <c r="J94" s="42"/>
      <c r="K94" s="42"/>
      <c r="L94" s="42"/>
      <c r="M94" s="162"/>
      <c r="N94" s="163"/>
    </row>
    <row r="95" spans="2:14" x14ac:dyDescent="0.2">
      <c r="B95" s="52"/>
      <c r="C95" s="47"/>
      <c r="D95" s="48"/>
      <c r="E95" s="48"/>
      <c r="F95" s="49"/>
      <c r="G95" s="49"/>
      <c r="H95" s="49"/>
      <c r="I95" s="47"/>
      <c r="J95" s="47"/>
      <c r="K95" s="47"/>
      <c r="L95" s="47"/>
      <c r="M95" s="127"/>
      <c r="N95" s="164"/>
    </row>
    <row r="96" spans="2:14" x14ac:dyDescent="0.2">
      <c r="B96" s="52" t="s">
        <v>59</v>
      </c>
      <c r="C96" s="47"/>
      <c r="D96" s="48"/>
      <c r="E96" s="48"/>
      <c r="F96" s="49"/>
      <c r="G96" s="49"/>
      <c r="H96" s="49"/>
      <c r="I96" s="47"/>
      <c r="J96" s="47"/>
      <c r="K96" s="47"/>
      <c r="L96" s="47"/>
      <c r="M96" s="127"/>
      <c r="N96" s="164"/>
    </row>
    <row r="97" spans="2:14" x14ac:dyDescent="0.2">
      <c r="B97" s="165"/>
      <c r="C97" s="127" t="s">
        <v>60</v>
      </c>
      <c r="D97" s="48"/>
      <c r="E97" s="48"/>
      <c r="F97" s="49"/>
      <c r="G97" s="49"/>
      <c r="H97" s="49"/>
      <c r="I97" s="47"/>
      <c r="J97" s="47"/>
      <c r="K97" s="47"/>
      <c r="L97" s="47"/>
      <c r="M97" s="127"/>
      <c r="N97" s="164"/>
    </row>
    <row r="98" spans="2:14" x14ac:dyDescent="0.2">
      <c r="B98" s="52"/>
      <c r="C98" s="159" t="s">
        <v>61</v>
      </c>
      <c r="D98" s="48"/>
      <c r="E98" s="48"/>
      <c r="F98" s="49"/>
      <c r="G98" s="49"/>
      <c r="H98" s="49"/>
      <c r="I98" s="47"/>
      <c r="J98" s="47"/>
      <c r="K98" s="47"/>
      <c r="L98" s="47"/>
      <c r="M98" s="127"/>
      <c r="N98" s="164"/>
    </row>
    <row r="99" spans="2:14" x14ac:dyDescent="0.2">
      <c r="B99" s="52"/>
      <c r="C99" s="159" t="s">
        <v>62</v>
      </c>
      <c r="D99" s="48"/>
      <c r="E99" s="48"/>
      <c r="F99" s="49"/>
      <c r="G99" s="49"/>
      <c r="H99" s="49"/>
      <c r="I99" s="47"/>
      <c r="J99" s="47"/>
      <c r="K99" s="47"/>
      <c r="L99" s="47"/>
      <c r="M99" s="127"/>
      <c r="N99" s="164"/>
    </row>
    <row r="100" spans="2:14" x14ac:dyDescent="0.2">
      <c r="B100" s="52"/>
      <c r="C100" s="160" t="s">
        <v>63</v>
      </c>
      <c r="D100" s="48"/>
      <c r="E100" s="48"/>
      <c r="F100" s="49"/>
      <c r="G100" s="49"/>
      <c r="H100" s="49"/>
      <c r="I100" s="47"/>
      <c r="J100" s="47"/>
      <c r="K100" s="47"/>
      <c r="L100" s="47"/>
      <c r="M100" s="127"/>
      <c r="N100" s="164"/>
    </row>
    <row r="101" spans="2:14" x14ac:dyDescent="0.2">
      <c r="B101" s="52"/>
      <c r="C101" s="47"/>
      <c r="D101" s="48"/>
      <c r="E101" s="48"/>
      <c r="F101" s="49"/>
      <c r="G101" s="49"/>
      <c r="H101" s="49"/>
      <c r="I101" s="47"/>
      <c r="J101" s="47"/>
      <c r="K101" s="47"/>
      <c r="L101" s="47"/>
      <c r="M101" s="127"/>
      <c r="N101" s="164"/>
    </row>
    <row r="102" spans="2:14" x14ac:dyDescent="0.2">
      <c r="B102" s="52" t="s">
        <v>58</v>
      </c>
      <c r="C102" s="47"/>
      <c r="D102" s="48"/>
      <c r="E102" s="48"/>
      <c r="F102" s="49"/>
      <c r="G102" s="49"/>
      <c r="H102" s="49"/>
      <c r="I102" s="47"/>
      <c r="J102" s="47"/>
      <c r="K102" s="47"/>
      <c r="L102" s="47"/>
      <c r="M102" s="127"/>
      <c r="N102" s="164"/>
    </row>
    <row r="103" spans="2:14" x14ac:dyDescent="0.2">
      <c r="B103" s="78"/>
      <c r="C103" s="47"/>
      <c r="D103" s="48"/>
      <c r="E103" s="48"/>
      <c r="F103" s="49"/>
      <c r="G103" s="49"/>
      <c r="H103" s="49"/>
      <c r="I103" s="47"/>
      <c r="J103" s="47"/>
      <c r="K103" s="47"/>
      <c r="L103" s="47"/>
      <c r="M103" s="127"/>
      <c r="N103" s="164"/>
    </row>
    <row r="104" spans="2:14" ht="15.75" thickBot="1" x14ac:dyDescent="0.25">
      <c r="B104" s="166" t="s">
        <v>70</v>
      </c>
      <c r="C104" s="53"/>
      <c r="D104" s="54"/>
      <c r="E104" s="54"/>
      <c r="F104" s="55"/>
      <c r="G104" s="55"/>
      <c r="H104" s="55"/>
      <c r="I104" s="53"/>
      <c r="J104" s="53"/>
      <c r="K104" s="53"/>
      <c r="L104" s="53"/>
      <c r="M104" s="167"/>
      <c r="N104" s="168"/>
    </row>
    <row r="105" spans="2:14" x14ac:dyDescent="0.2">
      <c r="B105" s="16"/>
    </row>
    <row r="106" spans="2:14" x14ac:dyDescent="0.2">
      <c r="B106" s="61"/>
    </row>
    <row r="107" spans="2:14" ht="15.75" x14ac:dyDescent="0.25">
      <c r="B107" s="17" t="s">
        <v>71</v>
      </c>
    </row>
    <row r="108" spans="2:14" x14ac:dyDescent="0.2">
      <c r="B108" s="16" t="s">
        <v>209</v>
      </c>
    </row>
    <row r="109" spans="2:14" ht="15.75" x14ac:dyDescent="0.25">
      <c r="B109" s="17"/>
    </row>
    <row r="110" spans="2:14" ht="15.75" x14ac:dyDescent="0.25">
      <c r="B110" s="17" t="s">
        <v>76</v>
      </c>
      <c r="C110" s="2" t="s">
        <v>77</v>
      </c>
    </row>
    <row r="111" spans="2:14" ht="15.75" x14ac:dyDescent="0.25">
      <c r="B111" s="1" t="s">
        <v>72</v>
      </c>
      <c r="C111" s="2"/>
    </row>
    <row r="112" spans="2:14" ht="15.75" x14ac:dyDescent="0.25">
      <c r="B112" s="17"/>
      <c r="C112" s="59" t="s">
        <v>73</v>
      </c>
    </row>
    <row r="113" spans="1:9" ht="15.75" x14ac:dyDescent="0.25">
      <c r="B113" s="16" t="s">
        <v>75</v>
      </c>
      <c r="C113" s="2"/>
    </row>
    <row r="114" spans="1:9" ht="15.75" x14ac:dyDescent="0.25">
      <c r="B114" s="16" t="s">
        <v>78</v>
      </c>
      <c r="C114" s="2"/>
    </row>
    <row r="115" spans="1:9" x14ac:dyDescent="0.2">
      <c r="C115" s="59" t="s">
        <v>74</v>
      </c>
    </row>
    <row r="116" spans="1:9" x14ac:dyDescent="0.2">
      <c r="B116" s="1" t="s">
        <v>79</v>
      </c>
    </row>
    <row r="119" spans="1:9" ht="15.75" x14ac:dyDescent="0.25">
      <c r="B119" s="2" t="s">
        <v>80</v>
      </c>
      <c r="C119" s="2" t="s">
        <v>5</v>
      </c>
      <c r="D119" s="137" t="s">
        <v>212</v>
      </c>
      <c r="E119" s="81"/>
    </row>
    <row r="120" spans="1:9" ht="15.75" x14ac:dyDescent="0.25">
      <c r="A120" s="80" t="s">
        <v>111</v>
      </c>
      <c r="B120" s="2" t="s">
        <v>86</v>
      </c>
      <c r="C120" s="2" t="s">
        <v>5</v>
      </c>
      <c r="D120" s="170" t="s">
        <v>210</v>
      </c>
      <c r="E120" s="79"/>
      <c r="I120" s="169" t="s">
        <v>113</v>
      </c>
    </row>
    <row r="121" spans="1:9" ht="15.75" x14ac:dyDescent="0.25">
      <c r="B121" s="67" t="s">
        <v>0</v>
      </c>
      <c r="C121" s="67" t="s">
        <v>5</v>
      </c>
      <c r="D121" s="137" t="s">
        <v>212</v>
      </c>
      <c r="E121" s="81"/>
    </row>
    <row r="122" spans="1:9" ht="15.75" x14ac:dyDescent="0.25">
      <c r="B122" s="2" t="s">
        <v>2</v>
      </c>
      <c r="C122" s="67" t="s">
        <v>85</v>
      </c>
      <c r="D122" s="137" t="s">
        <v>213</v>
      </c>
      <c r="E122" s="81"/>
    </row>
    <row r="123" spans="1:9" ht="15.75" x14ac:dyDescent="0.25">
      <c r="A123" s="80" t="s">
        <v>111</v>
      </c>
      <c r="B123" s="2" t="s">
        <v>1</v>
      </c>
      <c r="C123" s="2" t="s">
        <v>5</v>
      </c>
      <c r="D123" s="171" t="s">
        <v>211</v>
      </c>
      <c r="E123" s="79"/>
      <c r="I123" s="82"/>
    </row>
    <row r="124" spans="1:9" ht="15.75" x14ac:dyDescent="0.25">
      <c r="B124" s="2" t="s">
        <v>91</v>
      </c>
      <c r="C124" s="2" t="s">
        <v>5</v>
      </c>
      <c r="D124" s="137" t="s">
        <v>214</v>
      </c>
    </row>
    <row r="125" spans="1:9" ht="15.75" x14ac:dyDescent="0.25">
      <c r="B125" s="67" t="s">
        <v>90</v>
      </c>
      <c r="C125" s="17" t="s">
        <v>5</v>
      </c>
      <c r="D125" s="137" t="s">
        <v>215</v>
      </c>
      <c r="E125" s="81"/>
    </row>
    <row r="127" spans="1:9" x14ac:dyDescent="0.2">
      <c r="B127" s="59" t="s">
        <v>216</v>
      </c>
    </row>
    <row r="128" spans="1:9" x14ac:dyDescent="0.2">
      <c r="B128" s="172" t="s">
        <v>217</v>
      </c>
    </row>
  </sheetData>
  <sortState xmlns:xlrd2="http://schemas.microsoft.com/office/spreadsheetml/2017/richdata2" ref="A2:I10">
    <sortCondition ref="F2:F10"/>
    <sortCondition ref="G2:G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52D6-E253-4A4C-899A-7450A6757811}">
  <dimension ref="A1:K29"/>
  <sheetViews>
    <sheetView workbookViewId="0">
      <selection activeCell="A5" sqref="A5"/>
    </sheetView>
  </sheetViews>
  <sheetFormatPr defaultRowHeight="15" x14ac:dyDescent="0.25"/>
  <cols>
    <col min="1" max="1" width="20.7109375" customWidth="1"/>
    <col min="2" max="2" width="66.7109375" bestFit="1" customWidth="1"/>
    <col min="4" max="4" width="20.7109375" customWidth="1"/>
    <col min="5" max="5" width="66.7109375" customWidth="1"/>
    <col min="7" max="7" width="20.7109375" customWidth="1"/>
    <col min="8" max="8" width="66.7109375" customWidth="1"/>
    <col min="9" max="9" width="12.42578125" bestFit="1" customWidth="1"/>
    <col min="10" max="10" width="20.7109375" customWidth="1"/>
    <col min="11" max="11" width="66.7109375" customWidth="1"/>
  </cols>
  <sheetData>
    <row r="1" spans="1:11" ht="15.75" x14ac:dyDescent="0.25">
      <c r="A1" s="33" t="s">
        <v>31</v>
      </c>
      <c r="B1" s="1"/>
      <c r="C1" s="16"/>
      <c r="D1" s="1"/>
    </row>
    <row r="2" spans="1:11" ht="15.75" x14ac:dyDescent="0.25">
      <c r="A2" s="157" t="s">
        <v>30</v>
      </c>
      <c r="B2" s="1"/>
      <c r="C2" s="16"/>
      <c r="D2" s="1"/>
    </row>
    <row r="3" spans="1:11" ht="15.75" x14ac:dyDescent="0.25">
      <c r="A3" s="1" t="s">
        <v>32</v>
      </c>
      <c r="B3" s="1"/>
      <c r="C3" s="16"/>
      <c r="D3" s="1"/>
    </row>
    <row r="4" spans="1:11" ht="15.75" x14ac:dyDescent="0.25">
      <c r="A4" s="1" t="s">
        <v>33</v>
      </c>
      <c r="B4" s="1" t="s">
        <v>230</v>
      </c>
      <c r="C4" s="16"/>
      <c r="D4" s="1"/>
    </row>
    <row r="5" spans="1:11" ht="15.75" x14ac:dyDescent="0.25">
      <c r="A5" s="1"/>
      <c r="B5" s="1"/>
      <c r="C5" s="16"/>
      <c r="D5" s="1"/>
    </row>
    <row r="6" spans="1:11" ht="16.5" thickBot="1" x14ac:dyDescent="0.3">
      <c r="A6" s="1"/>
      <c r="B6" s="1"/>
      <c r="C6" s="16"/>
      <c r="D6" s="1"/>
    </row>
    <row r="7" spans="1:11" ht="15.75" x14ac:dyDescent="0.25">
      <c r="A7" s="41" t="s">
        <v>114</v>
      </c>
      <c r="B7" s="45"/>
      <c r="C7" s="16"/>
      <c r="D7" s="41" t="s">
        <v>115</v>
      </c>
      <c r="E7" s="94"/>
      <c r="F7" s="95"/>
      <c r="G7" s="41" t="s">
        <v>116</v>
      </c>
      <c r="H7" s="45"/>
      <c r="I7" s="95"/>
      <c r="J7" s="41" t="s">
        <v>142</v>
      </c>
      <c r="K7" s="45"/>
    </row>
    <row r="8" spans="1:11" ht="15.75" x14ac:dyDescent="0.25">
      <c r="A8" s="52"/>
      <c r="B8" s="50"/>
      <c r="C8" s="16"/>
      <c r="D8" s="52"/>
      <c r="E8" s="96"/>
      <c r="F8" s="95"/>
      <c r="G8" s="100"/>
      <c r="H8" s="50"/>
      <c r="I8" s="95"/>
      <c r="J8" s="100"/>
      <c r="K8" s="50"/>
    </row>
    <row r="9" spans="1:11" ht="15.75" x14ac:dyDescent="0.25">
      <c r="A9" s="46" t="s">
        <v>35</v>
      </c>
      <c r="B9" s="50"/>
      <c r="C9" s="16"/>
      <c r="D9" s="46" t="s">
        <v>47</v>
      </c>
      <c r="E9" s="96"/>
      <c r="F9" s="95"/>
      <c r="G9" s="46" t="s">
        <v>117</v>
      </c>
      <c r="H9" s="50"/>
      <c r="I9" s="95"/>
      <c r="J9" s="46" t="s">
        <v>149</v>
      </c>
      <c r="K9" s="50"/>
    </row>
    <row r="10" spans="1:11" ht="15.75" x14ac:dyDescent="0.25">
      <c r="A10" s="46" t="s">
        <v>139</v>
      </c>
      <c r="B10" s="123" t="s">
        <v>99</v>
      </c>
      <c r="C10" s="16"/>
      <c r="D10" s="46" t="s">
        <v>139</v>
      </c>
      <c r="E10" s="123"/>
      <c r="F10" s="95"/>
      <c r="G10" s="46" t="s">
        <v>139</v>
      </c>
      <c r="H10" s="123" t="s">
        <v>155</v>
      </c>
      <c r="I10" s="95"/>
      <c r="J10" s="46" t="s">
        <v>139</v>
      </c>
      <c r="K10" s="123" t="s">
        <v>145</v>
      </c>
    </row>
    <row r="11" spans="1:11" ht="15.75" x14ac:dyDescent="0.25">
      <c r="A11" s="46"/>
      <c r="B11" s="123"/>
      <c r="C11" s="16"/>
      <c r="D11" s="46" t="s">
        <v>156</v>
      </c>
      <c r="E11" s="123"/>
      <c r="F11" s="95"/>
      <c r="G11" s="46" t="s">
        <v>156</v>
      </c>
      <c r="H11" s="123" t="s">
        <v>157</v>
      </c>
      <c r="I11" s="95"/>
      <c r="J11" s="46" t="s">
        <v>156</v>
      </c>
      <c r="K11" s="123"/>
    </row>
    <row r="12" spans="1:11" ht="15.75" x14ac:dyDescent="0.25">
      <c r="A12" s="46" t="s">
        <v>38</v>
      </c>
      <c r="B12" s="102" t="s">
        <v>39</v>
      </c>
      <c r="C12" s="16"/>
      <c r="D12" s="46" t="s">
        <v>38</v>
      </c>
      <c r="E12" s="123" t="s">
        <v>43</v>
      </c>
      <c r="F12" s="95"/>
      <c r="G12" s="46" t="s">
        <v>38</v>
      </c>
      <c r="H12" s="121"/>
      <c r="I12" s="95"/>
      <c r="J12" s="46" t="s">
        <v>38</v>
      </c>
      <c r="K12" s="123"/>
    </row>
    <row r="13" spans="1:11" ht="31.5" x14ac:dyDescent="0.25">
      <c r="A13" s="90" t="s">
        <v>40</v>
      </c>
      <c r="B13" s="122" t="s">
        <v>41</v>
      </c>
      <c r="C13" s="16"/>
      <c r="D13" s="97" t="s">
        <v>40</v>
      </c>
      <c r="E13" s="124" t="s">
        <v>42</v>
      </c>
      <c r="F13" s="95"/>
      <c r="G13" s="90" t="s">
        <v>40</v>
      </c>
      <c r="H13" s="121"/>
      <c r="I13" s="95"/>
      <c r="J13" s="90" t="s">
        <v>40</v>
      </c>
      <c r="K13" s="123"/>
    </row>
    <row r="14" spans="1:11" ht="16.5" x14ac:dyDescent="0.25">
      <c r="A14" s="46" t="s">
        <v>44</v>
      </c>
      <c r="B14" s="92" t="s">
        <v>52</v>
      </c>
      <c r="C14" s="16"/>
      <c r="D14" s="46" t="s">
        <v>44</v>
      </c>
      <c r="E14" s="91" t="s">
        <v>140</v>
      </c>
      <c r="F14" s="98"/>
      <c r="G14" s="46" t="s">
        <v>44</v>
      </c>
      <c r="H14" s="101" t="s">
        <v>141</v>
      </c>
      <c r="I14" s="89"/>
      <c r="J14" s="46" t="s">
        <v>44</v>
      </c>
      <c r="K14" s="91" t="s">
        <v>52</v>
      </c>
    </row>
    <row r="15" spans="1:11" ht="15.75" x14ac:dyDescent="0.25">
      <c r="A15" s="52"/>
      <c r="B15" s="50"/>
      <c r="C15" s="16"/>
      <c r="D15" s="52"/>
      <c r="E15" s="96"/>
      <c r="F15" s="95"/>
      <c r="G15" s="52"/>
      <c r="H15" s="50"/>
      <c r="I15" s="95"/>
      <c r="J15" s="52"/>
      <c r="K15" s="96"/>
    </row>
    <row r="16" spans="1:11" ht="15.75" x14ac:dyDescent="0.25">
      <c r="A16" s="46" t="s">
        <v>147</v>
      </c>
      <c r="B16" s="50"/>
      <c r="C16" s="16"/>
      <c r="D16" s="46" t="s">
        <v>146</v>
      </c>
      <c r="E16" s="96"/>
      <c r="F16" s="95"/>
      <c r="G16" s="46" t="s">
        <v>148</v>
      </c>
      <c r="H16" s="50"/>
      <c r="I16" s="95"/>
      <c r="J16" s="46" t="s">
        <v>151</v>
      </c>
      <c r="K16" s="96"/>
    </row>
    <row r="17" spans="1:11" ht="15.75" x14ac:dyDescent="0.25">
      <c r="A17" s="46" t="s">
        <v>138</v>
      </c>
      <c r="B17" s="102" t="s">
        <v>99</v>
      </c>
      <c r="C17" s="16"/>
      <c r="D17" s="46" t="s">
        <v>139</v>
      </c>
      <c r="E17" s="123" t="s">
        <v>143</v>
      </c>
      <c r="F17" s="95"/>
      <c r="G17" s="46" t="s">
        <v>138</v>
      </c>
      <c r="H17" s="123" t="s">
        <v>144</v>
      </c>
      <c r="I17" s="95"/>
      <c r="J17" s="46" t="s">
        <v>138</v>
      </c>
      <c r="K17" s="123" t="s">
        <v>144</v>
      </c>
    </row>
    <row r="18" spans="1:11" ht="15.75" x14ac:dyDescent="0.25">
      <c r="A18" s="46" t="s">
        <v>44</v>
      </c>
      <c r="B18" s="104" t="s">
        <v>118</v>
      </c>
      <c r="C18" s="16"/>
      <c r="D18" s="46" t="s">
        <v>44</v>
      </c>
      <c r="E18" s="104" t="s">
        <v>118</v>
      </c>
      <c r="F18" s="112"/>
      <c r="G18" s="46" t="s">
        <v>44</v>
      </c>
      <c r="H18" s="103" t="s">
        <v>118</v>
      </c>
      <c r="I18" s="95"/>
      <c r="J18" s="46" t="s">
        <v>44</v>
      </c>
      <c r="K18" s="103" t="s">
        <v>118</v>
      </c>
    </row>
    <row r="19" spans="1:11" ht="15.75" x14ac:dyDescent="0.25">
      <c r="A19" s="46" t="s">
        <v>45</v>
      </c>
      <c r="B19" s="93">
        <v>2</v>
      </c>
      <c r="C19" s="16"/>
      <c r="D19" s="46" t="s">
        <v>45</v>
      </c>
      <c r="E19" s="93">
        <v>2</v>
      </c>
      <c r="F19" s="95"/>
      <c r="G19" s="46" t="s">
        <v>45</v>
      </c>
      <c r="H19" s="93">
        <v>2</v>
      </c>
      <c r="I19" s="95"/>
      <c r="J19" s="46" t="s">
        <v>45</v>
      </c>
      <c r="K19" s="93">
        <v>2</v>
      </c>
    </row>
    <row r="20" spans="1:11" ht="15.75" x14ac:dyDescent="0.25">
      <c r="A20" s="46" t="s">
        <v>46</v>
      </c>
      <c r="B20" s="118" t="s">
        <v>152</v>
      </c>
      <c r="C20" s="16"/>
      <c r="D20" s="46" t="s">
        <v>46</v>
      </c>
      <c r="E20" s="118" t="s">
        <v>152</v>
      </c>
      <c r="F20" s="95"/>
      <c r="G20" s="46" t="s">
        <v>46</v>
      </c>
      <c r="H20" s="118" t="s">
        <v>152</v>
      </c>
      <c r="I20" s="95"/>
      <c r="J20" s="46" t="s">
        <v>46</v>
      </c>
      <c r="K20" s="118" t="s">
        <v>152</v>
      </c>
    </row>
    <row r="21" spans="1:11" ht="15.75" x14ac:dyDescent="0.25">
      <c r="A21" s="113" t="s">
        <v>122</v>
      </c>
      <c r="B21" s="50" t="s">
        <v>99</v>
      </c>
      <c r="C21" s="16"/>
      <c r="D21" s="113" t="s">
        <v>122</v>
      </c>
      <c r="E21" s="50" t="s">
        <v>123</v>
      </c>
      <c r="F21" s="95"/>
      <c r="G21" s="113" t="s">
        <v>122</v>
      </c>
      <c r="H21" s="50" t="s">
        <v>123</v>
      </c>
      <c r="I21" s="95"/>
      <c r="J21" s="113" t="s">
        <v>122</v>
      </c>
      <c r="K21" s="50" t="s">
        <v>123</v>
      </c>
    </row>
    <row r="22" spans="1:11" ht="15.75" x14ac:dyDescent="0.25">
      <c r="A22" s="114" t="s">
        <v>125</v>
      </c>
      <c r="B22" s="119" t="s">
        <v>99</v>
      </c>
      <c r="D22" s="114" t="s">
        <v>125</v>
      </c>
      <c r="E22" s="115" t="s">
        <v>126</v>
      </c>
      <c r="G22" s="114" t="s">
        <v>125</v>
      </c>
      <c r="H22" s="115" t="s">
        <v>126</v>
      </c>
      <c r="J22" s="114" t="s">
        <v>125</v>
      </c>
      <c r="K22" s="115" t="s">
        <v>126</v>
      </c>
    </row>
    <row r="23" spans="1:11" ht="15.75" x14ac:dyDescent="0.25">
      <c r="A23" s="114" t="s">
        <v>127</v>
      </c>
      <c r="B23" s="119" t="s">
        <v>99</v>
      </c>
      <c r="D23" s="114" t="s">
        <v>127</v>
      </c>
      <c r="E23" s="115" t="s">
        <v>128</v>
      </c>
      <c r="G23" s="114" t="s">
        <v>127</v>
      </c>
      <c r="H23" s="115" t="s">
        <v>128</v>
      </c>
      <c r="J23" s="114" t="s">
        <v>127</v>
      </c>
      <c r="K23" s="115" t="s">
        <v>128</v>
      </c>
    </row>
    <row r="24" spans="1:11" ht="15.75" x14ac:dyDescent="0.25">
      <c r="A24" s="114" t="s">
        <v>124</v>
      </c>
      <c r="B24" s="119" t="s">
        <v>99</v>
      </c>
      <c r="D24" s="114" t="s">
        <v>124</v>
      </c>
      <c r="E24" s="115" t="s">
        <v>136</v>
      </c>
      <c r="G24" s="114" t="s">
        <v>124</v>
      </c>
      <c r="H24" s="115" t="s">
        <v>129</v>
      </c>
      <c r="J24" s="114" t="s">
        <v>124</v>
      </c>
      <c r="K24" s="115" t="s">
        <v>129</v>
      </c>
    </row>
    <row r="25" spans="1:11" ht="15.75" x14ac:dyDescent="0.25">
      <c r="A25" s="114" t="s">
        <v>130</v>
      </c>
      <c r="B25" s="119" t="s">
        <v>99</v>
      </c>
      <c r="D25" s="114" t="s">
        <v>130</v>
      </c>
      <c r="E25" s="115" t="s">
        <v>131</v>
      </c>
      <c r="G25" s="114" t="s">
        <v>130</v>
      </c>
      <c r="H25" s="115" t="s">
        <v>131</v>
      </c>
      <c r="J25" s="114" t="s">
        <v>130</v>
      </c>
      <c r="K25" s="115" t="s">
        <v>131</v>
      </c>
    </row>
    <row r="26" spans="1:11" ht="31.5" x14ac:dyDescent="0.25">
      <c r="A26" s="114" t="s">
        <v>132</v>
      </c>
      <c r="B26" s="119" t="s">
        <v>99</v>
      </c>
      <c r="D26" s="114" t="s">
        <v>132</v>
      </c>
      <c r="E26" s="115" t="s">
        <v>133</v>
      </c>
      <c r="G26" s="114" t="s">
        <v>132</v>
      </c>
      <c r="H26" s="115" t="s">
        <v>133</v>
      </c>
      <c r="J26" s="114" t="s">
        <v>132</v>
      </c>
      <c r="K26" s="115" t="s">
        <v>133</v>
      </c>
    </row>
    <row r="27" spans="1:11" ht="31.5" x14ac:dyDescent="0.25">
      <c r="A27" s="114" t="s">
        <v>134</v>
      </c>
      <c r="B27" s="119" t="s">
        <v>99</v>
      </c>
      <c r="D27" s="114" t="s">
        <v>134</v>
      </c>
      <c r="E27" s="115" t="s">
        <v>150</v>
      </c>
      <c r="G27" s="114" t="s">
        <v>134</v>
      </c>
      <c r="H27" s="115" t="s">
        <v>126</v>
      </c>
      <c r="J27" s="114" t="s">
        <v>134</v>
      </c>
      <c r="K27" s="115" t="s">
        <v>126</v>
      </c>
    </row>
    <row r="28" spans="1:11" ht="47.25" x14ac:dyDescent="0.25">
      <c r="A28" s="114" t="s">
        <v>135</v>
      </c>
      <c r="B28" s="119" t="s">
        <v>99</v>
      </c>
      <c r="D28" s="114" t="s">
        <v>135</v>
      </c>
      <c r="E28" s="115"/>
      <c r="G28" s="114" t="s">
        <v>135</v>
      </c>
      <c r="H28" s="115" t="s">
        <v>136</v>
      </c>
      <c r="J28" s="114" t="s">
        <v>135</v>
      </c>
      <c r="K28" s="115" t="s">
        <v>136</v>
      </c>
    </row>
    <row r="29" spans="1:11" ht="32.25" thickBot="1" x14ac:dyDescent="0.3">
      <c r="A29" s="116" t="s">
        <v>137</v>
      </c>
      <c r="B29" s="120" t="s">
        <v>99</v>
      </c>
      <c r="C29" s="13"/>
      <c r="D29" s="116" t="s">
        <v>137</v>
      </c>
      <c r="E29" s="117" t="s">
        <v>126</v>
      </c>
      <c r="G29" s="116" t="s">
        <v>137</v>
      </c>
      <c r="H29" s="117" t="s">
        <v>126</v>
      </c>
      <c r="J29" s="116" t="s">
        <v>137</v>
      </c>
      <c r="K29" s="117" t="s">
        <v>126</v>
      </c>
    </row>
  </sheetData>
  <hyperlinks>
    <hyperlink ref="A1" r:id="rId1" xr:uid="{1F819A23-4F8B-47EA-A589-3659E9B2180A}"/>
    <hyperlink ref="A2" r:id="rId2" xr:uid="{846577BD-9347-4D62-A068-1BFE5C0D7245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C68AAABCD754790516F63644BC6CF" ma:contentTypeVersion="22" ma:contentTypeDescription="Create a new document." ma:contentTypeScope="" ma:versionID="c2fb7fbd34ec3ca611d2812f344ccb64">
  <xsd:schema xmlns:xsd="http://www.w3.org/2001/XMLSchema" xmlns:xs="http://www.w3.org/2001/XMLSchema" xmlns:p="http://schemas.microsoft.com/office/2006/metadata/properties" xmlns:ns2="9adfb729-c661-4551-95df-6975ca7e8e66" xmlns:ns3="67def378-8209-4d3b-99b3-65bfcf3da265" targetNamespace="http://schemas.microsoft.com/office/2006/metadata/properties" ma:root="true" ma:fieldsID="d7eed90ee892dc2d6cf762b89f625b6f" ns2:_="" ns3:_="">
    <xsd:import namespace="9adfb729-c661-4551-95df-6975ca7e8e66"/>
    <xsd:import namespace="67def378-8209-4d3b-99b3-65bfcf3da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onth" minOccurs="0"/>
                <xsd:element ref="ns2:Checked" minOccurs="0"/>
                <xsd:element ref="ns2:Checked0"/>
                <xsd:element ref="ns2:CustomerDirectorate" minOccurs="0"/>
                <xsd:element ref="ns2:MQStatus" minOccurs="0"/>
                <xsd:element ref="ns2:LeadUnit" minOccurs="0"/>
                <xsd:element ref="ns2:Leadcoordinat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fb729-c661-4551-95df-6975ca7e8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51981c-07c9-48be-a366-aa18a08a63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nth" ma:index="23" nillable="true" ma:displayName="Month" ma:format="Dropdown" ma:internalName="Month">
      <xsd:simpleType>
        <xsd:restriction base="dms:Text">
          <xsd:maxLength value="255"/>
        </xsd:restriction>
      </xsd:simpleType>
    </xsd:element>
    <xsd:element name="Checked" ma:index="24" nillable="true" ma:displayName="Status" ma:default="None" ma:format="Dropdown" ma:internalName="Checked">
      <xsd:simpleType>
        <xsd:restriction base="dms:Choice">
          <xsd:enumeration value="Active"/>
          <xsd:enumeration value="Cancelled"/>
          <xsd:enumeration value="Completed"/>
          <xsd:enumeration value="On-Hold"/>
          <xsd:enumeration value="Pre-Active"/>
          <xsd:enumeration value="None"/>
        </xsd:restriction>
      </xsd:simpleType>
    </xsd:element>
    <xsd:element name="Checked0" ma:index="25" ma:displayName="Checked" ma:default="0" ma:description="Checked against previous ORS folder to ensure all files are present" ma:format="Dropdown" ma:internalName="Checked0">
      <xsd:simpleType>
        <xsd:restriction base="dms:Boolean"/>
      </xsd:simpleType>
    </xsd:element>
    <xsd:element name="CustomerDirectorate" ma:index="26" nillable="true" ma:displayName="Customer Directorate" ma:format="Dropdown" ma:internalName="CustomerDirectorate">
      <xsd:simpleType>
        <xsd:restriction base="dms:Choice">
          <xsd:enumeration value="Chief Finance Officer"/>
          <xsd:enumeration value="Chief Officer"/>
          <xsd:enumeration value="Community &amp; Skills"/>
          <xsd:enumeration value="Corporate Resources"/>
          <xsd:enumeration value="Good Growth"/>
          <xsd:enumeration value="Housing &amp; Land"/>
          <xsd:enumeration value="London Assembly"/>
          <xsd:enumeration value="MOPAC"/>
          <xsd:enumeration value="Strategy and Comms"/>
          <xsd:enumeration value="Other"/>
        </xsd:restriction>
      </xsd:simpleType>
    </xsd:element>
    <xsd:element name="MQStatus" ma:index="27" nillable="true" ma:displayName="MQ Status" ma:format="Dropdown" ma:internalName="MQStatus">
      <xsd:simpleType>
        <xsd:restriction base="dms:Text">
          <xsd:maxLength value="255"/>
        </xsd:restriction>
      </xsd:simpleType>
    </xsd:element>
    <xsd:element name="LeadUnit" ma:index="28" nillable="true" ma:displayName="Lead Unit" ma:format="Dropdown" ma:internalName="LeadUnit">
      <xsd:simpleType>
        <xsd:restriction base="dms:Text">
          <xsd:maxLength value="255"/>
        </xsd:restriction>
      </xsd:simpleType>
    </xsd:element>
    <xsd:element name="Leadcoordinator" ma:index="29" nillable="true" ma:displayName="Lead coordinator" ma:format="Dropdown" ma:list="UserInfo" ma:SharePointGroup="0" ma:internalName="Leadcoordin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f378-8209-4d3b-99b3-65bfcf3da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e241d16-0a2c-4e53-a35f-c81cc7a64d6a}" ma:internalName="TaxCatchAll" ma:showField="CatchAllData" ma:web="67def378-8209-4d3b-99b3-65bfcf3da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def378-8209-4d3b-99b3-65bfcf3da265" xsi:nil="true"/>
    <LeadUnit xmlns="9adfb729-c661-4551-95df-6975ca7e8e66" xsi:nil="true"/>
    <Month xmlns="9adfb729-c661-4551-95df-6975ca7e8e66" xsi:nil="true"/>
    <Checked0 xmlns="9adfb729-c661-4551-95df-6975ca7e8e66">false</Checked0>
    <Checked xmlns="9adfb729-c661-4551-95df-6975ca7e8e66">None</Checked>
    <Leadcoordinator xmlns="9adfb729-c661-4551-95df-6975ca7e8e66">
      <UserInfo>
        <DisplayName/>
        <AccountId xsi:nil="true"/>
        <AccountType/>
      </UserInfo>
    </Leadcoordinator>
    <lcf76f155ced4ddcb4097134ff3c332f xmlns="9adfb729-c661-4551-95df-6975ca7e8e66">
      <Terms xmlns="http://schemas.microsoft.com/office/infopath/2007/PartnerControls"/>
    </lcf76f155ced4ddcb4097134ff3c332f>
    <CustomerDirectorate xmlns="9adfb729-c661-4551-95df-6975ca7e8e66" xsi:nil="true"/>
    <MQStatus xmlns="9adfb729-c661-4551-95df-6975ca7e8e66" xsi:nil="true"/>
  </documentManagement>
</p:properties>
</file>

<file path=customXml/itemProps1.xml><?xml version="1.0" encoding="utf-8"?>
<ds:datastoreItem xmlns:ds="http://schemas.openxmlformats.org/officeDocument/2006/customXml" ds:itemID="{78B713D2-80C6-40FB-802D-9E7C7F30DA03}"/>
</file>

<file path=customXml/itemProps2.xml><?xml version="1.0" encoding="utf-8"?>
<ds:datastoreItem xmlns:ds="http://schemas.openxmlformats.org/officeDocument/2006/customXml" ds:itemID="{5CD330D3-5907-4EB7-BC54-58F69B95049B}"/>
</file>

<file path=customXml/itemProps3.xml><?xml version="1.0" encoding="utf-8"?>
<ds:datastoreItem xmlns:ds="http://schemas.openxmlformats.org/officeDocument/2006/customXml" ds:itemID="{7080AB8F-92D7-4145-84E7-CC69C8DFE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Arnold</dc:creator>
  <cp:lastModifiedBy>Brian Arnold</cp:lastModifiedBy>
  <dcterms:created xsi:type="dcterms:W3CDTF">2015-06-05T18:17:20Z</dcterms:created>
  <dcterms:modified xsi:type="dcterms:W3CDTF">2024-06-05T17:21:22Z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0x01010021CC68AAABCD754790516F63644BC6CF</vt:lpwstr>
  </property>
</Properties>
</file>